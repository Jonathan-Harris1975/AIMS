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39">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 t="inlineStr">
        <is>
          <t>2026-03-21</t>
        </is>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298"/>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Briefings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8" t="inlineStr">
        <is>
          <t>catalogue/agriculture/index.html</t>
        </is>
      </c>
      <c r="B16" s="9" t="inlineStr">
        <is>
          <t>/catalogue/agriculture/</t>
        </is>
      </c>
      <c r="C16" s="10">
        <f>$B$1&amp;B16</f>
        <v/>
      </c>
      <c r="D16" s="11" t="inlineStr">
        <is>
          <t>Agriculture AI Books | Jonathan Harris</t>
        </is>
      </c>
      <c r="E16" s="11" t="inlineStr">
        <is>
          <t>Standard page route</t>
        </is>
      </c>
      <c r="F16" s="12" t="n"/>
      <c r="G16" s="12" t="n"/>
      <c r="H16" s="11" t="n"/>
      <c r="I16" s="11">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7">
      <c r="A17" s="15" t="inlineStr">
        <is>
          <t>catalogue/artificial-intelligence/index.html</t>
        </is>
      </c>
      <c r="B17" s="16" t="inlineStr">
        <is>
          <t>/catalogue/artificial-intelligence/</t>
        </is>
      </c>
      <c r="C17" s="17">
        <f>$B$1&amp;B17</f>
        <v/>
      </c>
      <c r="D17" s="18" t="inlineStr">
        <is>
          <t>Artificial Intelligence AI Books | Jonathan Harris</t>
        </is>
      </c>
      <c r="E17" s="18" t="inlineStr">
        <is>
          <t>Standard page route</t>
        </is>
      </c>
      <c r="F17" s="19" t="n"/>
      <c r="G17" s="19" t="n"/>
      <c r="H17" s="18" t="n"/>
      <c r="I17" s="18">
        <f>IFERROR(VLOOKUP($F17,'BuyNow Redirects'!$C$2:$J$37,5,FALSE),"")</f>
        <v/>
      </c>
      <c r="J17" s="20">
        <f>IFERROR(VLOOKUP($F17,'BuyNow Redirects'!$C$2:$J$37,6,FALSE),"")</f>
        <v/>
      </c>
      <c r="K17" s="21">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7">
      <c r="A18" s="8" t="inlineStr">
        <is>
          <t>catalogue/construction/index.html</t>
        </is>
      </c>
      <c r="B18" s="9" t="inlineStr">
        <is>
          <t>/catalogue/construction/</t>
        </is>
      </c>
      <c r="C18" s="10">
        <f>$B$1&amp;B18</f>
        <v/>
      </c>
      <c r="D18" s="11" t="inlineStr">
        <is>
          <t>Construction AI Books | Jonathan Harris</t>
        </is>
      </c>
      <c r="E18" s="11" t="inlineStr">
        <is>
          <t>Standard page route</t>
        </is>
      </c>
      <c r="F18" s="12" t="n"/>
      <c r="G18" s="12" t="n"/>
      <c r="H18" s="11" t="n"/>
      <c r="I18" s="11">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7">
      <c r="A19" s="15" t="inlineStr">
        <is>
          <t>catalogue/creativity/index.html</t>
        </is>
      </c>
      <c r="B19" s="16" t="inlineStr">
        <is>
          <t>/catalogue/creativity/</t>
        </is>
      </c>
      <c r="C19" s="17">
        <f>$B$1&amp;B19</f>
        <v/>
      </c>
      <c r="D19" s="18" t="inlineStr">
        <is>
          <t>Creativity AI Books | Jonathan Harris</t>
        </is>
      </c>
      <c r="E19" s="18" t="inlineStr">
        <is>
          <t>Standard page route</t>
        </is>
      </c>
      <c r="F19" s="19" t="n"/>
      <c r="G19" s="19" t="n"/>
      <c r="H19" s="18" t="n"/>
      <c r="I19" s="18">
        <f>IFERROR(VLOOKUP($F19,'BuyNow Redirects'!$C$2:$J$37,5,FALSE),"")</f>
        <v/>
      </c>
      <c r="J19" s="20">
        <f>IFERROR(VLOOKUP($F19,'BuyNow Redirects'!$C$2:$J$37,6,FALSE),"")</f>
        <v/>
      </c>
      <c r="K19" s="21">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7">
      <c r="A20" s="8" t="inlineStr">
        <is>
          <t>catalogue/cyber-security/index.html</t>
        </is>
      </c>
      <c r="B20" s="9" t="inlineStr">
        <is>
          <t>/catalogue/cyber-security/</t>
        </is>
      </c>
      <c r="C20" s="10">
        <f>$B$1&amp;B20</f>
        <v/>
      </c>
      <c r="D20" s="11" t="inlineStr">
        <is>
          <t>Cyber Security AI Books | Jonathan Harris</t>
        </is>
      </c>
      <c r="E20" s="11" t="inlineStr">
        <is>
          <t>Standard page route</t>
        </is>
      </c>
      <c r="F20" s="12" t="n"/>
      <c r="G20" s="12" t="n"/>
      <c r="H20" s="11" t="n"/>
      <c r="I20" s="11">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7">
      <c r="A21" s="15" t="inlineStr">
        <is>
          <t>catalogue/defence/index.html</t>
        </is>
      </c>
      <c r="B21" s="16" t="inlineStr">
        <is>
          <t>/catalogue/defence/</t>
        </is>
      </c>
      <c r="C21" s="17">
        <f>$B$1&amp;B21</f>
        <v/>
      </c>
      <c r="D21" s="18" t="inlineStr">
        <is>
          <t>Defence AI Books | Jonathan Harris</t>
        </is>
      </c>
      <c r="E21" s="18" t="inlineStr">
        <is>
          <t>Standard page route</t>
        </is>
      </c>
      <c r="F21" s="19" t="n"/>
      <c r="G21" s="19" t="n"/>
      <c r="H21" s="18" t="n"/>
      <c r="I21" s="18">
        <f>IFERROR(VLOOKUP($F21,'BuyNow Redirects'!$C$2:$J$37,5,FALSE),"")</f>
        <v/>
      </c>
      <c r="J21" s="20">
        <f>IFERROR(VLOOKUP($F21,'BuyNow Redirects'!$C$2:$J$37,6,FALSE),"")</f>
        <v/>
      </c>
      <c r="K21" s="21">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7">
      <c r="A22" s="8" t="inlineStr">
        <is>
          <t>catalogue/education/index.html</t>
        </is>
      </c>
      <c r="B22" s="9" t="inlineStr">
        <is>
          <t>/catalogue/education/</t>
        </is>
      </c>
      <c r="C22" s="10">
        <f>$B$1&amp;B22</f>
        <v/>
      </c>
      <c r="D22" s="11" t="inlineStr">
        <is>
          <t>Education AI Books | Jonathan Harris</t>
        </is>
      </c>
      <c r="E22" s="11" t="inlineStr">
        <is>
          <t>Standard page route</t>
        </is>
      </c>
      <c r="F22" s="12" t="n"/>
      <c r="G22" s="12" t="n"/>
      <c r="H22" s="11" t="n"/>
      <c r="I22" s="11">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7">
      <c r="A23" s="15" t="inlineStr">
        <is>
          <t>catalogue/energy/index.html</t>
        </is>
      </c>
      <c r="B23" s="16" t="inlineStr">
        <is>
          <t>/catalogue/energy/</t>
        </is>
      </c>
      <c r="C23" s="17">
        <f>$B$1&amp;B23</f>
        <v/>
      </c>
      <c r="D23" s="18" t="inlineStr">
        <is>
          <t>Energy AI Books | Jonathan Harris</t>
        </is>
      </c>
      <c r="E23" s="18" t="inlineStr">
        <is>
          <t>Standard page route</t>
        </is>
      </c>
      <c r="F23" s="19" t="n"/>
      <c r="G23" s="19" t="n"/>
      <c r="H23" s="18" t="n"/>
      <c r="I23" s="18">
        <f>IFERROR(VLOOKUP($F23,'BuyNow Redirects'!$C$2:$J$37,5,FALSE),"")</f>
        <v/>
      </c>
      <c r="J23" s="20">
        <f>IFERROR(VLOOKUP($F23,'BuyNow Redirects'!$C$2:$J$37,6,FALSE),"")</f>
        <v/>
      </c>
      <c r="K23" s="21">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7">
      <c r="A24" s="8" t="inlineStr">
        <is>
          <t>catalogue/environment/index.html</t>
        </is>
      </c>
      <c r="B24" s="9" t="inlineStr">
        <is>
          <t>/catalogue/environment/</t>
        </is>
      </c>
      <c r="C24" s="10">
        <f>$B$1&amp;B24</f>
        <v/>
      </c>
      <c r="D24" s="11" t="inlineStr">
        <is>
          <t>Environment AI Books | Jonathan Harris</t>
        </is>
      </c>
      <c r="E24" s="11" t="inlineStr">
        <is>
          <t>Standard page route</t>
        </is>
      </c>
      <c r="F24" s="12" t="n"/>
      <c r="G24" s="12" t="n"/>
      <c r="H24" s="11" t="n"/>
      <c r="I24" s="11">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7">
      <c r="A25" s="15" t="inlineStr">
        <is>
          <t>catalogue/ethics/index.html</t>
        </is>
      </c>
      <c r="B25" s="16" t="inlineStr">
        <is>
          <t>/catalogue/ethics/</t>
        </is>
      </c>
      <c r="C25" s="17">
        <f>$B$1&amp;B25</f>
        <v/>
      </c>
      <c r="D25" s="18" t="inlineStr">
        <is>
          <t>Ethics AI Books | Jonathan Harris</t>
        </is>
      </c>
      <c r="E25" s="18" t="inlineStr">
        <is>
          <t>Standard page route</t>
        </is>
      </c>
      <c r="F25" s="19" t="n"/>
      <c r="G25" s="19" t="n"/>
      <c r="H25" s="18" t="n"/>
      <c r="I25" s="18">
        <f>IFERROR(VLOOKUP($F25,'BuyNow Redirects'!$C$2:$J$37,5,FALSE),"")</f>
        <v/>
      </c>
      <c r="J25" s="20">
        <f>IFERROR(VLOOKUP($F25,'BuyNow Redirects'!$C$2:$J$37,6,FALSE),"")</f>
        <v/>
      </c>
      <c r="K25" s="21">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7">
      <c r="A26" s="8" t="inlineStr">
        <is>
          <t>catalogue/finance/index.html</t>
        </is>
      </c>
      <c r="B26" s="9" t="inlineStr">
        <is>
          <t>/catalogue/finance/</t>
        </is>
      </c>
      <c r="C26" s="10">
        <f>$B$1&amp;B26</f>
        <v/>
      </c>
      <c r="D26" s="11" t="inlineStr">
        <is>
          <t>Finance AI Books | Jonathan Harris</t>
        </is>
      </c>
      <c r="E26" s="11" t="inlineStr">
        <is>
          <t>Standard page route</t>
        </is>
      </c>
      <c r="F26" s="12" t="n"/>
      <c r="G26" s="12" t="n"/>
      <c r="H26" s="11" t="n"/>
      <c r="I26" s="11">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7">
      <c r="A27" s="15" t="inlineStr">
        <is>
          <t>catalogue/future-of-work/index.html</t>
        </is>
      </c>
      <c r="B27" s="16" t="inlineStr">
        <is>
          <t>/catalogue/future-of-work/</t>
        </is>
      </c>
      <c r="C27" s="17">
        <f>$B$1&amp;B27</f>
        <v/>
      </c>
      <c r="D27" s="18" t="inlineStr">
        <is>
          <t>Future of Work AI Books | Jonathan Harris</t>
        </is>
      </c>
      <c r="E27" s="18" t="inlineStr">
        <is>
          <t>Standard page route</t>
        </is>
      </c>
      <c r="F27" s="19" t="n"/>
      <c r="G27" s="19" t="n"/>
      <c r="H27" s="18" t="n"/>
      <c r="I27" s="18">
        <f>IFERROR(VLOOKUP($F27,'BuyNow Redirects'!$C$2:$J$37,5,FALSE),"")</f>
        <v/>
      </c>
      <c r="J27" s="20">
        <f>IFERROR(VLOOKUP($F27,'BuyNow Redirects'!$C$2:$J$37,6,FALSE),"")</f>
        <v/>
      </c>
      <c r="K27" s="21">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7">
      <c r="A28" s="8" t="inlineStr">
        <is>
          <t>catalogue/gaming/index.html</t>
        </is>
      </c>
      <c r="B28" s="9" t="inlineStr">
        <is>
          <t>/catalogue/gaming/</t>
        </is>
      </c>
      <c r="C28" s="10">
        <f>$B$1&amp;B28</f>
        <v/>
      </c>
      <c r="D28" s="11" t="inlineStr">
        <is>
          <t>Gaming AI Books | Jonathan Harris</t>
        </is>
      </c>
      <c r="E28" s="11" t="inlineStr">
        <is>
          <t>Standard page route</t>
        </is>
      </c>
      <c r="F28" s="12" t="n"/>
      <c r="G28" s="12" t="n"/>
      <c r="H28" s="11" t="n"/>
      <c r="I28" s="11">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7">
      <c r="A29" s="15" t="inlineStr">
        <is>
          <t>catalogue/government/index.html</t>
        </is>
      </c>
      <c r="B29" s="16" t="inlineStr">
        <is>
          <t>/catalogue/government/</t>
        </is>
      </c>
      <c r="C29" s="17">
        <f>$B$1&amp;B29</f>
        <v/>
      </c>
      <c r="D29" s="18" t="inlineStr">
        <is>
          <t>Government AI Books | Jonathan Harris</t>
        </is>
      </c>
      <c r="E29" s="18" t="inlineStr">
        <is>
          <t>Standard page route</t>
        </is>
      </c>
      <c r="F29" s="19" t="n"/>
      <c r="G29" s="19" t="n"/>
      <c r="H29" s="18" t="n"/>
      <c r="I29" s="18">
        <f>IFERROR(VLOOKUP($F29,'BuyNow Redirects'!$C$2:$J$37,5,FALSE),"")</f>
        <v/>
      </c>
      <c r="J29" s="20">
        <f>IFERROR(VLOOKUP($F29,'BuyNow Redirects'!$C$2:$J$37,6,FALSE),"")</f>
        <v/>
      </c>
      <c r="K29" s="21">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7">
      <c r="A30" s="8" t="inlineStr">
        <is>
          <t>catalogue/healthcare/index.html</t>
        </is>
      </c>
      <c r="B30" s="9" t="inlineStr">
        <is>
          <t>/catalogue/healthcare/</t>
        </is>
      </c>
      <c r="C30" s="10">
        <f>$B$1&amp;B30</f>
        <v/>
      </c>
      <c r="D30" s="11" t="inlineStr">
        <is>
          <t>Healthcare AI Books | Jonathan Harris</t>
        </is>
      </c>
      <c r="E30" s="11" t="inlineStr">
        <is>
          <t>Standard page route</t>
        </is>
      </c>
      <c r="F30" s="12" t="n"/>
      <c r="G30" s="12" t="n"/>
      <c r="H30" s="11" t="n"/>
      <c r="I30" s="11">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7">
      <c r="A31" s="15" t="inlineStr">
        <is>
          <t>catalogue/history/index.html</t>
        </is>
      </c>
      <c r="B31" s="16" t="inlineStr">
        <is>
          <t>/catalogue/history/</t>
        </is>
      </c>
      <c r="C31" s="17">
        <f>$B$1&amp;B31</f>
        <v/>
      </c>
      <c r="D31" s="18" t="inlineStr">
        <is>
          <t>History AI Books | Jonathan Harris</t>
        </is>
      </c>
      <c r="E31" s="18" t="inlineStr">
        <is>
          <t>Standard page route</t>
        </is>
      </c>
      <c r="F31" s="19" t="n"/>
      <c r="G31" s="19" t="n"/>
      <c r="H31" s="18" t="n"/>
      <c r="I31" s="18">
        <f>IFERROR(VLOOKUP($F31,'BuyNow Redirects'!$C$2:$J$37,5,FALSE),"")</f>
        <v/>
      </c>
      <c r="J31" s="20">
        <f>IFERROR(VLOOKUP($F31,'BuyNow Redirects'!$C$2:$J$37,6,FALSE),"")</f>
        <v/>
      </c>
      <c r="K31" s="21">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7">
      <c r="A32" s="8" t="inlineStr">
        <is>
          <t>catalogue/industry/index.html</t>
        </is>
      </c>
      <c r="B32" s="9" t="inlineStr">
        <is>
          <t>/catalogue/industry/</t>
        </is>
      </c>
      <c r="C32" s="10">
        <f>$B$1&amp;B32</f>
        <v/>
      </c>
      <c r="D32" s="11" t="inlineStr">
        <is>
          <t>Industry AI Books | Jonathan Harris</t>
        </is>
      </c>
      <c r="E32" s="11" t="inlineStr">
        <is>
          <t>Standard page route</t>
        </is>
      </c>
      <c r="F32" s="12" t="n"/>
      <c r="G32" s="12" t="n"/>
      <c r="H32" s="11" t="n"/>
      <c r="I32" s="11">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7">
      <c r="A33" s="15" t="inlineStr">
        <is>
          <t>catalogue/law/index.html</t>
        </is>
      </c>
      <c r="B33" s="16" t="inlineStr">
        <is>
          <t>/catalogue/law/</t>
        </is>
      </c>
      <c r="C33" s="17">
        <f>$B$1&amp;B33</f>
        <v/>
      </c>
      <c r="D33" s="18" t="inlineStr">
        <is>
          <t>Law AI Books | Jonathan Harris</t>
        </is>
      </c>
      <c r="E33" s="18" t="inlineStr">
        <is>
          <t>Standard page route</t>
        </is>
      </c>
      <c r="F33" s="19" t="n"/>
      <c r="G33" s="19" t="n"/>
      <c r="H33" s="18" t="n"/>
      <c r="I33" s="18">
        <f>IFERROR(VLOOKUP($F33,'BuyNow Redirects'!$C$2:$J$37,5,FALSE),"")</f>
        <v/>
      </c>
      <c r="J33" s="20">
        <f>IFERROR(VLOOKUP($F33,'BuyNow Redirects'!$C$2:$J$37,6,FALSE),"")</f>
        <v/>
      </c>
      <c r="K33" s="21">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7">
      <c r="A34" s="8" t="inlineStr">
        <is>
          <t>catalogue/manufacturing/index.html</t>
        </is>
      </c>
      <c r="B34" s="9" t="inlineStr">
        <is>
          <t>/catalogue/manufacturing/</t>
        </is>
      </c>
      <c r="C34" s="10">
        <f>$B$1&amp;B34</f>
        <v/>
      </c>
      <c r="D34" s="11" t="inlineStr">
        <is>
          <t>Manufacturing AI Books | Jonathan Harris</t>
        </is>
      </c>
      <c r="E34" s="11" t="inlineStr">
        <is>
          <t>Standard page route</t>
        </is>
      </c>
      <c r="F34" s="12" t="n"/>
      <c r="G34" s="12" t="n"/>
      <c r="H34" s="11" t="n"/>
      <c r="I34" s="11">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7">
      <c r="A35" s="15" t="inlineStr">
        <is>
          <t>catalogue/media/index.html</t>
        </is>
      </c>
      <c r="B35" s="16" t="inlineStr">
        <is>
          <t>/catalogue/media/</t>
        </is>
      </c>
      <c r="C35" s="17">
        <f>$B$1&amp;B35</f>
        <v/>
      </c>
      <c r="D35" s="18" t="inlineStr">
        <is>
          <t>Media AI Books | Jonathan Harris</t>
        </is>
      </c>
      <c r="E35" s="18" t="inlineStr">
        <is>
          <t>Standard page route</t>
        </is>
      </c>
      <c r="F35" s="19" t="n"/>
      <c r="G35" s="19" t="n"/>
      <c r="H35" s="18" t="n"/>
      <c r="I35" s="18">
        <f>IFERROR(VLOOKUP($F35,'BuyNow Redirects'!$C$2:$J$37,5,FALSE),"")</f>
        <v/>
      </c>
      <c r="J35" s="20">
        <f>IFERROR(VLOOKUP($F35,'BuyNow Redirects'!$C$2:$J$37,6,FALSE),"")</f>
        <v/>
      </c>
      <c r="K35" s="21">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7">
      <c r="A36" s="8" t="inlineStr">
        <is>
          <t>catalogue/retail/index.html</t>
        </is>
      </c>
      <c r="B36" s="9" t="inlineStr">
        <is>
          <t>/catalogue/retail/</t>
        </is>
      </c>
      <c r="C36" s="10">
        <f>$B$1&amp;B36</f>
        <v/>
      </c>
      <c r="D36" s="11" t="inlineStr">
        <is>
          <t>Retail AI Books | Jonathan Harris</t>
        </is>
      </c>
      <c r="E36" s="11" t="inlineStr">
        <is>
          <t>Standard page route</t>
        </is>
      </c>
      <c r="F36" s="12" t="n"/>
      <c r="G36" s="12" t="n"/>
      <c r="H36" s="11" t="n"/>
      <c r="I36" s="11">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7">
      <c r="A37" s="15" t="inlineStr">
        <is>
          <t>catalogue/science/index.html</t>
        </is>
      </c>
      <c r="B37" s="16" t="inlineStr">
        <is>
          <t>/catalogue/science/</t>
        </is>
      </c>
      <c r="C37" s="17">
        <f>$B$1&amp;B37</f>
        <v/>
      </c>
      <c r="D37" s="18" t="inlineStr">
        <is>
          <t>Science AI Books | Jonathan Harris</t>
        </is>
      </c>
      <c r="E37" s="18" t="inlineStr">
        <is>
          <t>Standard page route</t>
        </is>
      </c>
      <c r="F37" s="19" t="n"/>
      <c r="G37" s="19" t="n"/>
      <c r="H37" s="18" t="n"/>
      <c r="I37" s="18">
        <f>IFERROR(VLOOKUP($F37,'BuyNow Redirects'!$C$2:$J$37,5,FALSE),"")</f>
        <v/>
      </c>
      <c r="J37" s="20">
        <f>IFERROR(VLOOKUP($F37,'BuyNow Redirects'!$C$2:$J$37,6,FALSE),"")</f>
        <v/>
      </c>
      <c r="K37" s="21">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7">
      <c r="A38" s="8" t="inlineStr">
        <is>
          <t>catalogue/sports/index.html</t>
        </is>
      </c>
      <c r="B38" s="9" t="inlineStr">
        <is>
          <t>/catalogue/sports/</t>
        </is>
      </c>
      <c r="C38" s="10">
        <f>$B$1&amp;B38</f>
        <v/>
      </c>
      <c r="D38" s="11" t="inlineStr">
        <is>
          <t>Sports AI Books | Jonathan Harris</t>
        </is>
      </c>
      <c r="E38" s="11" t="inlineStr">
        <is>
          <t>Standard page route</t>
        </is>
      </c>
      <c r="F38" s="12" t="n"/>
      <c r="G38" s="12" t="n"/>
      <c r="H38" s="11" t="n"/>
      <c r="I38" s="11">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7">
      <c r="A39" s="15" t="inlineStr">
        <is>
          <t>catalogue/transportation/index.html</t>
        </is>
      </c>
      <c r="B39" s="16" t="inlineStr">
        <is>
          <t>/catalogue/transportation/</t>
        </is>
      </c>
      <c r="C39" s="17">
        <f>$B$1&amp;B39</f>
        <v/>
      </c>
      <c r="D39" s="18" t="inlineStr">
        <is>
          <t>Transportation AI Books | Jonathan Harris</t>
        </is>
      </c>
      <c r="E39" s="18" t="inlineStr">
        <is>
          <t>Standard page route</t>
        </is>
      </c>
      <c r="F39" s="19" t="n"/>
      <c r="G39" s="19" t="n"/>
      <c r="H39" s="18" t="n"/>
      <c r="I39" s="18">
        <f>IFERROR(VLOOKUP($F39,'BuyNow Redirects'!$C$2:$J$37,5,FALSE),"")</f>
        <v/>
      </c>
      <c r="J39" s="20">
        <f>IFERROR(VLOOKUP($F39,'BuyNow Redirects'!$C$2:$J$37,6,FALSE),"")</f>
        <v/>
      </c>
      <c r="K39" s="21">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7">
      <c r="A40" s="8" t="inlineStr">
        <is>
          <t>compare/index.html</t>
        </is>
      </c>
      <c r="B40" s="9" t="inlineStr">
        <is>
          <t>/compare/</t>
        </is>
      </c>
      <c r="C40" s="10">
        <f>$B$1&amp;B40</f>
        <v/>
      </c>
      <c r="D40" s="11" t="inlineStr">
        <is>
          <t>AI Topic Comparisons | Jonathan Harris</t>
        </is>
      </c>
      <c r="E40" s="11" t="inlineStr">
        <is>
          <t>Standard page route</t>
        </is>
      </c>
      <c r="F40" s="12" t="n"/>
      <c r="G40" s="12" t="n"/>
      <c r="H40" s="11" t="n"/>
      <c r="I40" s="11">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7">
      <c r="A41" s="15" t="inlineStr">
        <is>
          <t>contact/index.html</t>
        </is>
      </c>
      <c r="B41" s="16" t="inlineStr">
        <is>
          <t>/contact/</t>
        </is>
      </c>
      <c r="C41" s="17">
        <f>$B$1&amp;B41</f>
        <v/>
      </c>
      <c r="D41" s="18" t="inlineStr">
        <is>
          <t>Get in Touch | Jonathan Harris</t>
        </is>
      </c>
      <c r="E41" s="18" t="inlineStr">
        <is>
          <t>Standard page route</t>
        </is>
      </c>
      <c r="F41" s="19" t="n"/>
      <c r="G41" s="19" t="n"/>
      <c r="H41" s="18" t="n"/>
      <c r="I41" s="18">
        <f>IFERROR(VLOOKUP($F41,'BuyNow Redirects'!$C$2:$J$37,5,FALSE),"")</f>
        <v/>
      </c>
      <c r="J41" s="20">
        <f>IFERROR(VLOOKUP($F41,'BuyNow Redirects'!$C$2:$J$37,6,FALSE),"")</f>
        <v/>
      </c>
      <c r="K41" s="21">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7">
      <c r="A42" s="8" t="inlineStr">
        <is>
          <t>ebooks/index.html</t>
        </is>
      </c>
      <c r="B42" s="9" t="inlineStr">
        <is>
          <t>/ebooks/</t>
        </is>
      </c>
      <c r="C42" s="10">
        <f>$B$1&amp;B42</f>
        <v/>
      </c>
      <c r="D42" s="11" t="inlineStr">
        <is>
          <t>AI eBooks Catalogue | Jonathan Harris</t>
        </is>
      </c>
      <c r="E42" s="11" t="inlineStr">
        <is>
          <t>Standard page route</t>
        </is>
      </c>
      <c r="F42" s="12" t="n"/>
      <c r="G42" s="12" t="n"/>
      <c r="H42" s="11" t="n"/>
      <c r="I42" s="11">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7">
      <c r="A43" s="15" t="inlineStr">
        <is>
          <t>ebooks/ai-and-formula-1-redefining-speed-and-strategy-with-intelligent-technology/index.html</t>
        </is>
      </c>
      <c r="B43" s="16" t="inlineStr">
        <is>
          <t>/ebooks/ai-and-formula-1-redefining-speed-and-strategy-with-intelligent-technology/</t>
        </is>
      </c>
      <c r="C43" s="17">
        <f>$B$1&amp;B43</f>
        <v/>
      </c>
      <c r="D43" s="18" t="inlineStr">
        <is>
          <t>AI and Formula 1 | Jonathan Harris</t>
        </is>
      </c>
      <c r="E43" s="18" t="inlineStr">
        <is>
          <t>Canonical ebook route</t>
        </is>
      </c>
      <c r="F43" s="19" t="inlineStr">
        <is>
          <t>https://jonathan-harris.online/ebooks/ai-and-formula-1-redefining-speed-and-strategy-with-intelligent-technology/buy-now</t>
        </is>
      </c>
      <c r="G43" s="19" t="inlineStr">
        <is>
          <t>https://mybook.to/Gi93rOF</t>
        </is>
      </c>
      <c r="H43" s="18" t="n"/>
      <c r="I43" s="18">
        <f>IFERROR(VLOOKUP($F43,'BuyNow Redirects'!$C$2:$J$37,5,FALSE),"")</f>
        <v/>
      </c>
      <c r="J43" s="20">
        <f>IFERROR(VLOOKUP($F43,'BuyNow Redirects'!$C$2:$J$37,6,FALSE),"")</f>
        <v/>
      </c>
      <c r="K43" s="21">
        <f>IFERROR(VLOOKUP($F43,'BuyNow Redirects'!$C$2:$J$37,7,FALSE),"")</f>
        <v/>
      </c>
      <c r="L43" s="22">
        <f>IFERROR(VLOOKUP($F43,'BuyNow Redirects'!$C$2:$J$37,8,FALSE),"")</f>
        <v/>
      </c>
      <c r="M43" s="6" t="n"/>
      <c r="N43" s="6" t="n"/>
      <c r="O43" s="6" t="n"/>
      <c r="P43" s="6" t="n"/>
      <c r="Q43" s="6" t="n"/>
      <c r="R43" s="6" t="n"/>
      <c r="S43" s="6" t="n"/>
      <c r="T43" s="6" t="n"/>
      <c r="U43" s="6" t="n"/>
      <c r="V43" s="6" t="n"/>
      <c r="W43" s="6" t="n"/>
      <c r="X43" s="6" t="n"/>
      <c r="Y43" s="6" t="n"/>
      <c r="Z43" s="6" t="n"/>
    </row>
    <row r="44" ht="21" customHeight="1" s="37">
      <c r="A44" s="8" t="inlineStr">
        <is>
          <t>ebooks/ai-in-agriculture-revolutionizing-farming-for-a-sustainable-future/index.html</t>
        </is>
      </c>
      <c r="B44" s="9" t="inlineStr">
        <is>
          <t>/ebooks/ai-in-agriculture-revolutionizing-farming-for-a-sustainable-future/</t>
        </is>
      </c>
      <c r="C44" s="10">
        <f>$B$1&amp;B44</f>
        <v/>
      </c>
      <c r="D44" s="11" t="inlineStr">
        <is>
          <t>AI in Agriculture | Jonathan Harris</t>
        </is>
      </c>
      <c r="E44" s="11" t="inlineStr">
        <is>
          <t>Canonical ebook route</t>
        </is>
      </c>
      <c r="F44" s="12" t="inlineStr">
        <is>
          <t>https://jonathan-harris.online/ebooks/ai-in-agriculture-revolutionizing-farming-for-a-sustainable-future/buy-now</t>
        </is>
      </c>
      <c r="G44" s="12" t="inlineStr">
        <is>
          <t>https://mybook.to/PsciMD5</t>
        </is>
      </c>
      <c r="H44" s="11" t="n"/>
      <c r="I44" s="11">
        <f>IFERROR(VLOOKUP($F44,'BuyNow Redirects'!$C$2:$J$37,5,FALSE),"")</f>
        <v/>
      </c>
      <c r="J44" s="13">
        <f>IFERROR(VLOOKUP($F44,'BuyNow Redirects'!$C$2:$J$37,6,FALSE),"")</f>
        <v/>
      </c>
      <c r="K44" s="14">
        <f>IFERROR(VLOOKUP($F44,'BuyNow Redirects'!$C$2:$J$37,7,FALSE),"")</f>
        <v/>
      </c>
      <c r="L44" s="23">
        <f>IFERROR(VLOOKUP($F44,'BuyNow Redirects'!$C$2:$J$37,8,FALSE),"")</f>
        <v/>
      </c>
      <c r="M44" s="6" t="n"/>
      <c r="N44" s="6" t="n"/>
      <c r="O44" s="6" t="n"/>
      <c r="P44" s="6" t="n"/>
      <c r="Q44" s="6" t="n"/>
      <c r="R44" s="6" t="n"/>
      <c r="S44" s="6" t="n"/>
      <c r="T44" s="6" t="n"/>
      <c r="U44" s="6" t="n"/>
      <c r="V44" s="6" t="n"/>
      <c r="W44" s="6" t="n"/>
      <c r="X44" s="6" t="n"/>
      <c r="Y44" s="6" t="n"/>
      <c r="Z44" s="6" t="n"/>
    </row>
    <row r="45" ht="21" customHeight="1" s="37">
      <c r="A45" s="15" t="inlineStr">
        <is>
          <t>ebooks/ai-in-aviation-transforming-safety-and-sustainability/index.html</t>
        </is>
      </c>
      <c r="B45" s="16" t="inlineStr">
        <is>
          <t>/ebooks/ai-in-aviation-transforming-safety-and-sustainability/</t>
        </is>
      </c>
      <c r="C45" s="17">
        <f>$B$1&amp;B45</f>
        <v/>
      </c>
      <c r="D45" s="18" t="inlineStr">
        <is>
          <t>AI in Aviation | Jonathan Harris</t>
        </is>
      </c>
      <c r="E45" s="18" t="inlineStr">
        <is>
          <t>Canonical ebook route</t>
        </is>
      </c>
      <c r="F45" s="19" t="inlineStr">
        <is>
          <t>https://jonathan-harris.online/ebooks/ai-in-aviation-transforming-safety-and-sustainability/buy-now</t>
        </is>
      </c>
      <c r="G45" s="19" t="inlineStr">
        <is>
          <t>https://mybook.to/13VF</t>
        </is>
      </c>
      <c r="H45" s="18" t="n"/>
      <c r="I45" s="18">
        <f>IFERROR(VLOOKUP($F45,'BuyNow Redirects'!$C$2:$J$37,5,FALSE),"")</f>
        <v/>
      </c>
      <c r="J45" s="20">
        <f>IFERROR(VLOOKUP($F45,'BuyNow Redirects'!$C$2:$J$37,6,FALSE),"")</f>
        <v/>
      </c>
      <c r="K45" s="21">
        <f>IFERROR(VLOOKUP($F45,'BuyNow Redirects'!$C$2:$J$37,7,FALSE),"")</f>
        <v/>
      </c>
      <c r="L45" s="22">
        <f>IFERROR(VLOOKUP($F45,'BuyNow Redirects'!$C$2:$J$37,8,FALSE),"")</f>
        <v/>
      </c>
      <c r="M45" s="6" t="n"/>
      <c r="N45" s="6" t="n"/>
      <c r="O45" s="6" t="n"/>
      <c r="P45" s="6" t="n"/>
      <c r="Q45" s="6" t="n"/>
      <c r="R45" s="6" t="n"/>
      <c r="S45" s="6" t="n"/>
      <c r="T45" s="6" t="n"/>
      <c r="U45" s="6" t="n"/>
      <c r="V45" s="6" t="n"/>
      <c r="W45" s="6" t="n"/>
      <c r="X45" s="6" t="n"/>
      <c r="Y45" s="6" t="n"/>
      <c r="Z45" s="6" t="n"/>
    </row>
    <row r="46" ht="21" customHeight="1" s="37">
      <c r="A46" s="8" t="inlineStr">
        <is>
          <t>ebooks/ai-in-education-reimagining-learning-for-every-student/index.html</t>
        </is>
      </c>
      <c r="B46" s="9" t="inlineStr">
        <is>
          <t>/ebooks/ai-in-education-reimagining-learning-for-every-student/</t>
        </is>
      </c>
      <c r="C46" s="10">
        <f>$B$1&amp;B46</f>
        <v/>
      </c>
      <c r="D46" s="11" t="inlineStr">
        <is>
          <t>AI in Education: Reimagining Learning for Every Student | Jonathan Harris</t>
        </is>
      </c>
      <c r="E46" s="11" t="inlineStr">
        <is>
          <t>Canonical ebook route</t>
        </is>
      </c>
      <c r="F46" s="12" t="inlineStr">
        <is>
          <t>https://jonathan-harris.online/ebooks/ai-in-education-reimagining-learning-for-every-student/buy-now</t>
        </is>
      </c>
      <c r="G46" s="12" t="inlineStr">
        <is>
          <t>https://mybook.to/Ldhe41</t>
        </is>
      </c>
      <c r="H46" s="11" t="n"/>
      <c r="I46" s="11">
        <f>IFERROR(VLOOKUP($F46,'BuyNow Redirects'!$C$2:$J$37,5,FALSE),"")</f>
        <v/>
      </c>
      <c r="J46" s="13">
        <f>IFERROR(VLOOKUP($F46,'BuyNow Redirects'!$C$2:$J$37,6,FALSE),"")</f>
        <v/>
      </c>
      <c r="K46" s="14">
        <f>IFERROR(VLOOKUP($F46,'BuyNow Redirects'!$C$2:$J$37,7,FALSE),"")</f>
        <v/>
      </c>
      <c r="L46" s="23">
        <f>IFERROR(VLOOKUP($F46,'BuyNow Redirects'!$C$2:$J$37,8,FALSE),"")</f>
        <v/>
      </c>
      <c r="M46" s="6" t="n"/>
      <c r="N46" s="6" t="n"/>
      <c r="O46" s="6" t="n"/>
      <c r="P46" s="6" t="n"/>
      <c r="Q46" s="6" t="n"/>
      <c r="R46" s="6" t="n"/>
      <c r="S46" s="6" t="n"/>
      <c r="T46" s="6" t="n"/>
      <c r="U46" s="6" t="n"/>
      <c r="V46" s="6" t="n"/>
      <c r="W46" s="6" t="n"/>
      <c r="X46" s="6" t="n"/>
      <c r="Y46" s="6" t="n"/>
      <c r="Z46" s="6" t="n"/>
    </row>
    <row r="47" ht="21" customHeight="1" s="37">
      <c r="A47" s="15" t="inlineStr">
        <is>
          <t>ebooks/ai-in-maritime-revolutionizing-shipping-for-sustainability/index.html</t>
        </is>
      </c>
      <c r="B47" s="16" t="inlineStr">
        <is>
          <t>/ebooks/ai-in-maritime-revolutionizing-shipping-for-sustainability/</t>
        </is>
      </c>
      <c r="C47" s="17">
        <f>$B$1&amp;B47</f>
        <v/>
      </c>
      <c r="D47" s="18" t="inlineStr">
        <is>
          <t>AI in Maritime | Jonathan Harris</t>
        </is>
      </c>
      <c r="E47" s="18" t="inlineStr">
        <is>
          <t>Canonical ebook route</t>
        </is>
      </c>
      <c r="F47" s="19" t="inlineStr">
        <is>
          <t>https://jonathan-harris.online/ebooks/ai-in-maritime-revolutionizing-shipping-for-sustainability/buy-now</t>
        </is>
      </c>
      <c r="G47" s="19" t="inlineStr">
        <is>
          <t>https://mybook.to/yANzV8</t>
        </is>
      </c>
      <c r="H47" s="18" t="n"/>
      <c r="I47" s="18">
        <f>IFERROR(VLOOKUP($F47,'BuyNow Redirects'!$C$2:$J$37,5,FALSE),"")</f>
        <v/>
      </c>
      <c r="J47" s="20">
        <f>IFERROR(VLOOKUP($F47,'BuyNow Redirects'!$C$2:$J$37,6,FALSE),"")</f>
        <v/>
      </c>
      <c r="K47" s="21">
        <f>IFERROR(VLOOKUP($F47,'BuyNow Redirects'!$C$2:$J$37,7,FALSE),"")</f>
        <v/>
      </c>
      <c r="L47" s="22">
        <f>IFERROR(VLOOKUP($F47,'BuyNow Redirects'!$C$2:$J$37,8,FALSE),"")</f>
        <v/>
      </c>
      <c r="M47" s="6" t="n"/>
      <c r="N47" s="6" t="n"/>
      <c r="O47" s="6" t="n"/>
      <c r="P47" s="6" t="n"/>
      <c r="Q47" s="6" t="n"/>
      <c r="R47" s="6" t="n"/>
      <c r="S47" s="6" t="n"/>
      <c r="T47" s="6" t="n"/>
      <c r="U47" s="6" t="n"/>
      <c r="V47" s="6" t="n"/>
      <c r="W47" s="6" t="n"/>
      <c r="X47" s="6" t="n"/>
      <c r="Y47" s="6" t="n"/>
      <c r="Z47" s="6" t="n"/>
    </row>
    <row r="48" ht="21" customHeight="1" s="37">
      <c r="A48" s="8" t="inlineStr">
        <is>
          <t>ebooks/ai-powered-smart-grid-revolutionizing-electricity-distribution-and-generation/index.html</t>
        </is>
      </c>
      <c r="B48" s="9" t="inlineStr">
        <is>
          <t>/ebooks/ai-powered-smart-grid-revolutionizing-electricity-distribution-and-generation/</t>
        </is>
      </c>
      <c r="C48" s="10">
        <f>$B$1&amp;B48</f>
        <v/>
      </c>
      <c r="D48" s="11" t="inlineStr">
        <is>
          <t>AI-Powered Smart Grid | Jonathan Harris</t>
        </is>
      </c>
      <c r="E48" s="11" t="inlineStr">
        <is>
          <t>Canonical ebook route</t>
        </is>
      </c>
      <c r="F48" s="12" t="inlineStr">
        <is>
          <t>https://jonathan-harris.online/ebooks/ai-powered-smart-grid-revolutionizing-electricity-distribution-and-generation/buy-now</t>
        </is>
      </c>
      <c r="G48" s="12" t="inlineStr">
        <is>
          <t>https://mybook.to/sntL</t>
        </is>
      </c>
      <c r="H48" s="11" t="n"/>
      <c r="I48" s="11">
        <f>IFERROR(VLOOKUP($F48,'BuyNow Redirects'!$C$2:$J$37,5,FALSE),"")</f>
        <v/>
      </c>
      <c r="J48" s="13">
        <f>IFERROR(VLOOKUP($F48,'BuyNow Redirects'!$C$2:$J$37,6,FALSE),"")</f>
        <v/>
      </c>
      <c r="K48" s="14">
        <f>IFERROR(VLOOKUP($F48,'BuyNow Redirects'!$C$2:$J$37,7,FALSE),"")</f>
        <v/>
      </c>
      <c r="L48" s="23">
        <f>IFERROR(VLOOKUP($F48,'BuyNow Redirects'!$C$2:$J$37,8,FALSE),"")</f>
        <v/>
      </c>
      <c r="M48" s="6" t="n"/>
      <c r="N48" s="6" t="n"/>
      <c r="O48" s="6" t="n"/>
      <c r="P48" s="6" t="n"/>
      <c r="Q48" s="6" t="n"/>
      <c r="R48" s="6" t="n"/>
      <c r="S48" s="6" t="n"/>
      <c r="T48" s="6" t="n"/>
      <c r="U48" s="6" t="n"/>
      <c r="V48" s="6" t="n"/>
      <c r="W48" s="6" t="n"/>
      <c r="X48" s="6" t="n"/>
      <c r="Y48" s="6" t="n"/>
      <c r="Z48" s="6" t="n"/>
    </row>
    <row r="49" ht="21" customHeight="1" s="37">
      <c r="A49" s="15" t="inlineStr">
        <is>
          <t>ebooks/ai-revolution-in-railways-modernizing-travel-for-a-smarter-future/index.html</t>
        </is>
      </c>
      <c r="B49" s="16" t="inlineStr">
        <is>
          <t>/ebooks/ai-revolution-in-railways-modernizing-travel-for-a-smarter-future/</t>
        </is>
      </c>
      <c r="C49" s="17">
        <f>$B$1&amp;B49</f>
        <v/>
      </c>
      <c r="D49" s="18" t="inlineStr">
        <is>
          <t>AI Revolution in Railways | Jonathan Harris</t>
        </is>
      </c>
      <c r="E49" s="18" t="inlineStr">
        <is>
          <t>Canonical ebook route</t>
        </is>
      </c>
      <c r="F49" s="19" t="inlineStr">
        <is>
          <t>https://jonathan-harris.online/ebooks/ai-revolution-in-railways-modernizing-travel-for-a-smarter-future/buy-now</t>
        </is>
      </c>
      <c r="G49" s="19" t="inlineStr">
        <is>
          <t>https://mybook.to/JkJfDp</t>
        </is>
      </c>
      <c r="H49" s="18" t="n"/>
      <c r="I49" s="18">
        <f>IFERROR(VLOOKUP($F49,'BuyNow Redirects'!$C$2:$J$37,5,FALSE),"")</f>
        <v/>
      </c>
      <c r="J49" s="20">
        <f>IFERROR(VLOOKUP($F49,'BuyNow Redirects'!$C$2:$J$37,6,FALSE),"")</f>
        <v/>
      </c>
      <c r="K49" s="21">
        <f>IFERROR(VLOOKUP($F49,'BuyNow Redirects'!$C$2:$J$37,7,FALSE),"")</f>
        <v/>
      </c>
      <c r="L49" s="22">
        <f>IFERROR(VLOOKUP($F49,'BuyNow Redirects'!$C$2:$J$37,8,FALSE),"")</f>
        <v/>
      </c>
      <c r="M49" s="6" t="n"/>
      <c r="N49" s="6" t="n"/>
      <c r="O49" s="6" t="n"/>
      <c r="P49" s="6" t="n"/>
      <c r="Q49" s="6" t="n"/>
      <c r="R49" s="6" t="n"/>
      <c r="S49" s="6" t="n"/>
      <c r="T49" s="6" t="n"/>
      <c r="U49" s="6" t="n"/>
      <c r="V49" s="6" t="n"/>
      <c r="W49" s="6" t="n"/>
      <c r="X49" s="6" t="n"/>
      <c r="Y49" s="6" t="n"/>
      <c r="Z49" s="6" t="n"/>
    </row>
    <row r="50" ht="21" customHeight="1" s="37">
      <c r="A50" s="8" t="inlineStr">
        <is>
          <t>ebooks/artificial-intelligence-and-the-law-case-studies-and-future-trends/index.html</t>
        </is>
      </c>
      <c r="B50" s="9" t="inlineStr">
        <is>
          <t>/ebooks/artificial-intelligence-and-the-law-case-studies-and-future-trends/</t>
        </is>
      </c>
      <c r="C50" s="10">
        <f>$B$1&amp;B50</f>
        <v/>
      </c>
      <c r="D50" s="11" t="inlineStr">
        <is>
          <t>AI and the Law | Jonathan Harris</t>
        </is>
      </c>
      <c r="E50" s="11" t="inlineStr">
        <is>
          <t>Canonical ebook route</t>
        </is>
      </c>
      <c r="F50" s="12" t="inlineStr">
        <is>
          <t>https://jonathan-harris.online/ebooks/artificial-intelligence-and-the-law-case-studies-and-future-trends/buy-now</t>
        </is>
      </c>
      <c r="G50" s="12" t="inlineStr">
        <is>
          <t>https://mybook.to/bWpjeB</t>
        </is>
      </c>
      <c r="H50" s="11" t="n"/>
      <c r="I50" s="11">
        <f>IFERROR(VLOOKUP($F50,'BuyNow Redirects'!$C$2:$J$37,5,FALSE),"")</f>
        <v/>
      </c>
      <c r="J50" s="13">
        <f>IFERROR(VLOOKUP($F50,'BuyNow Redirects'!$C$2:$J$37,6,FALSE),"")</f>
        <v/>
      </c>
      <c r="K50" s="14">
        <f>IFERROR(VLOOKUP($F50,'BuyNow Redirects'!$C$2:$J$37,7,FALSE),"")</f>
        <v/>
      </c>
      <c r="L50" s="23">
        <f>IFERROR(VLOOKUP($F50,'BuyNow Redirects'!$C$2:$J$37,8,FALSE),"")</f>
        <v/>
      </c>
      <c r="M50" s="6" t="n"/>
      <c r="N50" s="6" t="n"/>
      <c r="O50" s="6" t="n"/>
      <c r="P50" s="6" t="n"/>
      <c r="Q50" s="6" t="n"/>
      <c r="R50" s="6" t="n"/>
      <c r="S50" s="6" t="n"/>
      <c r="T50" s="6" t="n"/>
      <c r="U50" s="6" t="n"/>
      <c r="V50" s="6" t="n"/>
      <c r="W50" s="6" t="n"/>
      <c r="X50" s="6" t="n"/>
      <c r="Y50" s="6" t="n"/>
      <c r="Z50" s="6" t="n"/>
    </row>
    <row r="51" ht="21" customHeight="1" s="37">
      <c r="A51" s="15" t="inlineStr">
        <is>
          <t>ebooks/artificial-intelligence-for-cyber-security-a-practical-guide-to-data-breach-prevention/index.html</t>
        </is>
      </c>
      <c r="B51" s="16" t="inlineStr">
        <is>
          <t>/ebooks/artificial-intelligence-for-cyber-security-a-practical-guide-to-data-breach-prevention/</t>
        </is>
      </c>
      <c r="C51" s="17">
        <f>$B$1&amp;B51</f>
        <v/>
      </c>
      <c r="D51" s="18" t="inlineStr">
        <is>
          <t>AI for Cyber Security | Jonathan Harris</t>
        </is>
      </c>
      <c r="E51" s="18" t="inlineStr">
        <is>
          <t>Canonical ebook route</t>
        </is>
      </c>
      <c r="F51" s="19" t="inlineStr">
        <is>
          <t>https://jonathan-harris.online/ebooks/artificial-intelligence-for-cyber-security-a-practical-guide-to-data-breach-prevention/buy-now</t>
        </is>
      </c>
      <c r="G51" s="19" t="inlineStr">
        <is>
          <t>https://mybook.to/9Wvf</t>
        </is>
      </c>
      <c r="H51" s="18" t="n"/>
      <c r="I51" s="18">
        <f>IFERROR(VLOOKUP($F51,'BuyNow Redirects'!$C$2:$J$37,5,FALSE),"")</f>
        <v/>
      </c>
      <c r="J51" s="20">
        <f>IFERROR(VLOOKUP($F51,'BuyNow Redirects'!$C$2:$J$37,6,FALSE),"")</f>
        <v/>
      </c>
      <c r="K51" s="21">
        <f>IFERROR(VLOOKUP($F51,'BuyNow Redirects'!$C$2:$J$37,7,FALSE),"")</f>
        <v/>
      </c>
      <c r="L51" s="22">
        <f>IFERROR(VLOOKUP($F51,'BuyNow Redirects'!$C$2:$J$37,8,FALSE),"")</f>
        <v/>
      </c>
      <c r="M51" s="6" t="n"/>
      <c r="N51" s="6" t="n"/>
      <c r="O51" s="6" t="n"/>
      <c r="P51" s="6" t="n"/>
      <c r="Q51" s="6" t="n"/>
      <c r="R51" s="6" t="n"/>
      <c r="S51" s="6" t="n"/>
      <c r="T51" s="6" t="n"/>
      <c r="U51" s="6" t="n"/>
      <c r="V51" s="6" t="n"/>
      <c r="W51" s="6" t="n"/>
      <c r="X51" s="6" t="n"/>
      <c r="Y51" s="6" t="n"/>
      <c r="Z51" s="6" t="n"/>
    </row>
    <row r="52" ht="21" customHeight="1" s="37">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11" t="inlineStr">
        <is>
          <t>AI for Wildlife Conservation | Jonathan Harris</t>
        </is>
      </c>
      <c r="E52" s="11" t="inlineStr">
        <is>
          <t>Canonical ebook route</t>
        </is>
      </c>
      <c r="F52" s="12" t="inlineStr">
        <is>
          <t>https://jonathan-harris.online/ebooks/artificial-intelligence-for-wildlife-conservation-revolutionizing-biodiversity-protection-through-technology/buy-now</t>
        </is>
      </c>
      <c r="G52" s="12" t="inlineStr">
        <is>
          <t>https://mybook.to/94Q3</t>
        </is>
      </c>
      <c r="H52" s="11" t="n"/>
      <c r="I52" s="11">
        <f>IFERROR(VLOOKUP($F52,'BuyNow Redirects'!$C$2:$J$37,5,FALSE),"")</f>
        <v/>
      </c>
      <c r="J52" s="13">
        <f>IFERROR(VLOOKUP($F52,'BuyNow Redirects'!$C$2:$J$37,6,FALSE),"")</f>
        <v/>
      </c>
      <c r="K52" s="14">
        <f>IFERROR(VLOOKUP($F52,'BuyNow Redirects'!$C$2:$J$37,7,FALSE),"")</f>
        <v/>
      </c>
      <c r="L52" s="23">
        <f>IFERROR(VLOOKUP($F52,'BuyNow Redirects'!$C$2:$J$37,8,FALSE),"")</f>
        <v/>
      </c>
      <c r="M52" s="6" t="n"/>
      <c r="N52" s="6" t="n"/>
      <c r="O52" s="6" t="n"/>
      <c r="P52" s="6" t="n"/>
      <c r="Q52" s="6" t="n"/>
      <c r="R52" s="6" t="n"/>
      <c r="S52" s="6" t="n"/>
      <c r="T52" s="6" t="n"/>
      <c r="U52" s="6" t="n"/>
      <c r="V52" s="6" t="n"/>
      <c r="W52" s="6" t="n"/>
      <c r="X52" s="6" t="n"/>
      <c r="Y52" s="6" t="n"/>
      <c r="Z52" s="6" t="n"/>
    </row>
    <row r="53" ht="21" customHeight="1" s="37">
      <c r="A53" s="15" t="inlineStr">
        <is>
          <t>ebooks/artificial-intelligence-in-banking-revolutionizing-finance-and-data-security/index.html</t>
        </is>
      </c>
      <c r="B53" s="16" t="inlineStr">
        <is>
          <t>/ebooks/artificial-intelligence-in-banking-revolutionizing-finance-and-data-security/</t>
        </is>
      </c>
      <c r="C53" s="17">
        <f>$B$1&amp;B53</f>
        <v/>
      </c>
      <c r="D53" s="18" t="inlineStr">
        <is>
          <t>AI in Banking | Jonathan Harris</t>
        </is>
      </c>
      <c r="E53" s="18" t="inlineStr">
        <is>
          <t>Canonical ebook route</t>
        </is>
      </c>
      <c r="F53" s="19" t="inlineStr">
        <is>
          <t>https://jonathan-harris.online/ebooks/artificial-intelligence-in-banking-revolutionizing-finance-and-data-security/buy-now</t>
        </is>
      </c>
      <c r="G53" s="19" t="inlineStr">
        <is>
          <t>https://mybook.to/8VjT</t>
        </is>
      </c>
      <c r="H53" s="18" t="n"/>
      <c r="I53" s="18">
        <f>IFERROR(VLOOKUP($F53,'BuyNow Redirects'!$C$2:$J$37,5,FALSE),"")</f>
        <v/>
      </c>
      <c r="J53" s="20">
        <f>IFERROR(VLOOKUP($F53,'BuyNow Redirects'!$C$2:$J$37,6,FALSE),"")</f>
        <v/>
      </c>
      <c r="K53" s="21">
        <f>IFERROR(VLOOKUP($F53,'BuyNow Redirects'!$C$2:$J$37,7,FALSE),"")</f>
        <v/>
      </c>
      <c r="L53" s="22">
        <f>IFERROR(VLOOKUP($F53,'BuyNow Redirects'!$C$2:$J$37,8,FALSE),"")</f>
        <v/>
      </c>
      <c r="M53" s="6" t="n"/>
      <c r="N53" s="6" t="n"/>
      <c r="O53" s="6" t="n"/>
      <c r="P53" s="6" t="n"/>
      <c r="Q53" s="6" t="n"/>
      <c r="R53" s="6" t="n"/>
      <c r="S53" s="6" t="n"/>
      <c r="T53" s="6" t="n"/>
      <c r="U53" s="6" t="n"/>
      <c r="V53" s="6" t="n"/>
      <c r="W53" s="6" t="n"/>
      <c r="X53" s="6" t="n"/>
      <c r="Y53" s="6" t="n"/>
      <c r="Z53" s="6" t="n"/>
    </row>
    <row r="54" ht="21" customHeight="1" s="37">
      <c r="A54" s="8" t="inlineStr">
        <is>
          <t>ebooks/artificial-intelligence-in-construction-building-a-sustainable-future/index.html</t>
        </is>
      </c>
      <c r="B54" s="9" t="inlineStr">
        <is>
          <t>/ebooks/artificial-intelligence-in-construction-building-a-sustainable-future/</t>
        </is>
      </c>
      <c r="C54" s="10">
        <f>$B$1&amp;B54</f>
        <v/>
      </c>
      <c r="D54" s="11" t="inlineStr">
        <is>
          <t>AI in Construction | Jonathan Harris</t>
        </is>
      </c>
      <c r="E54" s="11" t="inlineStr">
        <is>
          <t>Canonical ebook route</t>
        </is>
      </c>
      <c r="F54" s="12" t="inlineStr">
        <is>
          <t>https://jonathan-harris.online/ebooks/artificial-intelligence-in-construction-building-a-sustainable-future/buy-now</t>
        </is>
      </c>
      <c r="G54" s="12" t="inlineStr">
        <is>
          <t>https://mybook.to/v98RD</t>
        </is>
      </c>
      <c r="H54" s="11" t="n"/>
      <c r="I54" s="11">
        <f>IFERROR(VLOOKUP($F54,'BuyNow Redirects'!$C$2:$J$37,5,FALSE),"")</f>
        <v/>
      </c>
      <c r="J54" s="13">
        <f>IFERROR(VLOOKUP($F54,'BuyNow Redirects'!$C$2:$J$37,6,FALSE),"")</f>
        <v/>
      </c>
      <c r="K54" s="14">
        <f>IFERROR(VLOOKUP($F54,'BuyNow Redirects'!$C$2:$J$37,7,FALSE),"")</f>
        <v/>
      </c>
      <c r="L54" s="23">
        <f>IFERROR(VLOOKUP($F54,'BuyNow Redirects'!$C$2:$J$37,8,FALSE),"")</f>
        <v/>
      </c>
      <c r="M54" s="6" t="n"/>
      <c r="N54" s="6" t="n"/>
      <c r="O54" s="6" t="n"/>
      <c r="P54" s="6" t="n"/>
      <c r="Q54" s="6" t="n"/>
      <c r="R54" s="6" t="n"/>
      <c r="S54" s="6" t="n"/>
      <c r="T54" s="6" t="n"/>
      <c r="U54" s="6" t="n"/>
      <c r="V54" s="6" t="n"/>
      <c r="W54" s="6" t="n"/>
      <c r="X54" s="6" t="n"/>
      <c r="Y54" s="6" t="n"/>
      <c r="Z54" s="6" t="n"/>
    </row>
    <row r="55" ht="21" customHeight="1" s="37">
      <c r="A55" s="15" t="inlineStr">
        <is>
          <t>ebooks/artificial-intelligence-in-industry-a-comprehensive-guide/index.html</t>
        </is>
      </c>
      <c r="B55" s="16" t="inlineStr">
        <is>
          <t>/ebooks/artificial-intelligence-in-industry-a-comprehensive-guide/</t>
        </is>
      </c>
      <c r="C55" s="17">
        <f>$B$1&amp;B55</f>
        <v/>
      </c>
      <c r="D55" s="18" t="inlineStr">
        <is>
          <t>AI in Industry | Jonathan Harris</t>
        </is>
      </c>
      <c r="E55" s="18" t="inlineStr">
        <is>
          <t>Canonical ebook route</t>
        </is>
      </c>
      <c r="F55" s="19" t="inlineStr">
        <is>
          <t>https://jonathan-harris.online/ebooks/artificial-intelligence-in-industry-a-comprehensive-guide/buy-now</t>
        </is>
      </c>
      <c r="G55" s="19" t="inlineStr">
        <is>
          <t>https://mybook.to/t2Au28</t>
        </is>
      </c>
      <c r="H55" s="18" t="n"/>
      <c r="I55" s="18">
        <f>IFERROR(VLOOKUP($F55,'BuyNow Redirects'!$C$2:$J$37,5,FALSE),"")</f>
        <v/>
      </c>
      <c r="J55" s="20">
        <f>IFERROR(VLOOKUP($F55,'BuyNow Redirects'!$C$2:$J$37,6,FALSE),"")</f>
        <v/>
      </c>
      <c r="K55" s="21">
        <f>IFERROR(VLOOKUP($F55,'BuyNow Redirects'!$C$2:$J$37,7,FALSE),"")</f>
        <v/>
      </c>
      <c r="L55" s="22">
        <f>IFERROR(VLOOKUP($F55,'BuyNow Redirects'!$C$2:$J$37,8,FALSE),"")</f>
        <v/>
      </c>
      <c r="M55" s="6" t="n"/>
      <c r="N55" s="6" t="n"/>
      <c r="O55" s="6" t="n"/>
      <c r="P55" s="6" t="n"/>
      <c r="Q55" s="6" t="n"/>
      <c r="R55" s="6" t="n"/>
      <c r="S55" s="6" t="n"/>
      <c r="T55" s="6" t="n"/>
      <c r="U55" s="6" t="n"/>
      <c r="V55" s="6" t="n"/>
      <c r="W55" s="6" t="n"/>
      <c r="X55" s="6" t="n"/>
      <c r="Y55" s="6" t="n"/>
      <c r="Z55" s="6" t="n"/>
    </row>
    <row r="56" ht="21" customHeight="1" s="37">
      <c r="A56" s="8" t="inlineStr">
        <is>
          <t>ebooks/artificial-intelligence-in-logistics-optimizing-efficiency-and-sustainability/index.html</t>
        </is>
      </c>
      <c r="B56" s="9" t="inlineStr">
        <is>
          <t>/ebooks/artificial-intelligence-in-logistics-optimizing-efficiency-and-sustainability/</t>
        </is>
      </c>
      <c r="C56" s="10">
        <f>$B$1&amp;B56</f>
        <v/>
      </c>
      <c r="D56" s="11" t="inlineStr">
        <is>
          <t>AI in Logistics | Jonathan Harris</t>
        </is>
      </c>
      <c r="E56" s="11" t="inlineStr">
        <is>
          <t>Canonical ebook route</t>
        </is>
      </c>
      <c r="F56" s="12" t="inlineStr">
        <is>
          <t>https://jonathan-harris.online/ebooks/artificial-intelligence-in-logistics-optimizing-efficiency-and-sustainability/buy-now</t>
        </is>
      </c>
      <c r="G56" s="12" t="inlineStr">
        <is>
          <t>https://mybook.to/zSKnSW</t>
        </is>
      </c>
      <c r="H56" s="11" t="n"/>
      <c r="I56" s="11">
        <f>IFERROR(VLOOKUP($F56,'BuyNow Redirects'!$C$2:$J$37,5,FALSE),"")</f>
        <v/>
      </c>
      <c r="J56" s="13">
        <f>IFERROR(VLOOKUP($F56,'BuyNow Redirects'!$C$2:$J$37,6,FALSE),"")</f>
        <v/>
      </c>
      <c r="K56" s="14">
        <f>IFERROR(VLOOKUP($F56,'BuyNow Redirects'!$C$2:$J$37,7,FALSE),"")</f>
        <v/>
      </c>
      <c r="L56" s="23">
        <f>IFERROR(VLOOKUP($F56,'BuyNow Redirects'!$C$2:$J$37,8,FALSE),"")</f>
        <v/>
      </c>
      <c r="M56" s="6" t="n"/>
      <c r="N56" s="6" t="n"/>
      <c r="O56" s="6" t="n"/>
      <c r="P56" s="6" t="n"/>
      <c r="Q56" s="6" t="n"/>
      <c r="R56" s="6" t="n"/>
      <c r="S56" s="6" t="n"/>
      <c r="T56" s="6" t="n"/>
      <c r="U56" s="6" t="n"/>
      <c r="V56" s="6" t="n"/>
      <c r="W56" s="6" t="n"/>
      <c r="X56" s="6" t="n"/>
      <c r="Y56" s="6" t="n"/>
      <c r="Z56" s="6" t="n"/>
    </row>
    <row r="57" ht="21" customHeight="1" s="37">
      <c r="A57" s="15" t="inlineStr">
        <is>
          <t>ebooks/artificial-intelligence-in-pharmaceuticals-revolutionizing-healthcare/index.html</t>
        </is>
      </c>
      <c r="B57" s="16" t="inlineStr">
        <is>
          <t>/ebooks/artificial-intelligence-in-pharmaceuticals-revolutionizing-healthcare/</t>
        </is>
      </c>
      <c r="C57" s="17">
        <f>$B$1&amp;B57</f>
        <v/>
      </c>
      <c r="D57" s="18" t="inlineStr">
        <is>
          <t>AI in Pharmaceuticals | Jonathan Harris</t>
        </is>
      </c>
      <c r="E57" s="18" t="inlineStr">
        <is>
          <t>Canonical ebook route</t>
        </is>
      </c>
      <c r="F57" s="19" t="inlineStr">
        <is>
          <t>https://jonathan-harris.online/ebooks/artificial-intelligence-in-pharmaceuticals-revolutionizing-healthcare/buy-now</t>
        </is>
      </c>
      <c r="G57" s="19" t="inlineStr">
        <is>
          <t>https://mybook.to/3cA8</t>
        </is>
      </c>
      <c r="H57" s="18" t="n"/>
      <c r="I57" s="18">
        <f>IFERROR(VLOOKUP($F57,'BuyNow Redirects'!$C$2:$J$37,5,FALSE),"")</f>
        <v/>
      </c>
      <c r="J57" s="20">
        <f>IFERROR(VLOOKUP($F57,'BuyNow Redirects'!$C$2:$J$37,6,FALSE),"")</f>
        <v/>
      </c>
      <c r="K57" s="21">
        <f>IFERROR(VLOOKUP($F57,'BuyNow Redirects'!$C$2:$J$37,7,FALSE),"")</f>
        <v/>
      </c>
      <c r="L57" s="22">
        <f>IFERROR(VLOOKUP($F57,'BuyNow Redirects'!$C$2:$J$37,8,FALSE),"")</f>
        <v/>
      </c>
      <c r="M57" s="6" t="n"/>
      <c r="N57" s="6" t="n"/>
      <c r="O57" s="6" t="n"/>
      <c r="P57" s="6" t="n"/>
      <c r="Q57" s="6" t="n"/>
      <c r="R57" s="6" t="n"/>
      <c r="S57" s="6" t="n"/>
      <c r="T57" s="6" t="n"/>
      <c r="U57" s="6" t="n"/>
      <c r="V57" s="6" t="n"/>
      <c r="W57" s="6" t="n"/>
      <c r="X57" s="6" t="n"/>
      <c r="Y57" s="6" t="n"/>
      <c r="Z57" s="6" t="n"/>
    </row>
    <row r="58" ht="21" customHeight="1" s="37">
      <c r="A58" s="8" t="inlineStr">
        <is>
          <t>ebooks/artificial-intelligence-in-sports-revolutionizing-performance-and-fan-engagement/index.html</t>
        </is>
      </c>
      <c r="B58" s="9" t="inlineStr">
        <is>
          <t>/ebooks/artificial-intelligence-in-sports-revolutionizing-performance-and-fan-engagement/</t>
        </is>
      </c>
      <c r="C58" s="10">
        <f>$B$1&amp;B58</f>
        <v/>
      </c>
      <c r="D58" s="11" t="inlineStr">
        <is>
          <t>AI in Sports | Jonathan Harris</t>
        </is>
      </c>
      <c r="E58" s="11" t="inlineStr">
        <is>
          <t>Canonical ebook route</t>
        </is>
      </c>
      <c r="F58" s="12" t="inlineStr">
        <is>
          <t>https://jonathan-harris.online/ebooks/artificial-intelligence-in-sports-revolutionizing-performance-and-fan-engagement/buy-now</t>
        </is>
      </c>
      <c r="G58" s="12" t="inlineStr">
        <is>
          <t>https://mybook.to/73M1</t>
        </is>
      </c>
      <c r="H58" s="11" t="n"/>
      <c r="I58" s="11">
        <f>IFERROR(VLOOKUP($F58,'BuyNow Redirects'!$C$2:$J$37,5,FALSE),"")</f>
        <v/>
      </c>
      <c r="J58" s="13">
        <f>IFERROR(VLOOKUP($F58,'BuyNow Redirects'!$C$2:$J$37,6,FALSE),"")</f>
        <v/>
      </c>
      <c r="K58" s="14">
        <f>IFERROR(VLOOKUP($F58,'BuyNow Redirects'!$C$2:$J$37,7,FALSE),"")</f>
        <v/>
      </c>
      <c r="L58" s="23">
        <f>IFERROR(VLOOKUP($F58,'BuyNow Redirects'!$C$2:$J$37,8,FALSE),"")</f>
        <v/>
      </c>
      <c r="M58" s="6" t="n"/>
      <c r="N58" s="6" t="n"/>
      <c r="O58" s="6" t="n"/>
      <c r="P58" s="6" t="n"/>
      <c r="Q58" s="6" t="n"/>
      <c r="R58" s="6" t="n"/>
      <c r="S58" s="6" t="n"/>
      <c r="T58" s="6" t="n"/>
      <c r="U58" s="6" t="n"/>
      <c r="V58" s="6" t="n"/>
      <c r="W58" s="6" t="n"/>
      <c r="X58" s="6" t="n"/>
      <c r="Y58" s="6" t="n"/>
      <c r="Z58" s="6" t="n"/>
    </row>
    <row r="59" ht="21" customHeight="1" s="37">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18" t="inlineStr">
        <is>
          <t>AI in Veterinary Medicine | Jonathan Harris</t>
        </is>
      </c>
      <c r="E59" s="18" t="inlineStr">
        <is>
          <t>Canonical ebook route</t>
        </is>
      </c>
      <c r="F59" s="19" t="inlineStr">
        <is>
          <t>https://jonathan-harris.online/ebooks/artificial-intelligence-in-veterinary-medicine-transforming-animal-healthcare-through-innovation/buy-now</t>
        </is>
      </c>
      <c r="G59" s="19" t="inlineStr">
        <is>
          <t>https://mybook.to/SOjUE</t>
        </is>
      </c>
      <c r="H59" s="18" t="n"/>
      <c r="I59" s="18">
        <f>IFERROR(VLOOKUP($F59,'BuyNow Redirects'!$C$2:$J$37,5,FALSE),"")</f>
        <v/>
      </c>
      <c r="J59" s="20">
        <f>IFERROR(VLOOKUP($F59,'BuyNow Redirects'!$C$2:$J$37,6,FALSE),"")</f>
        <v/>
      </c>
      <c r="K59" s="21">
        <f>IFERROR(VLOOKUP($F59,'BuyNow Redirects'!$C$2:$J$37,7,FALSE),"")</f>
        <v/>
      </c>
      <c r="L59" s="22">
        <f>IFERROR(VLOOKUP($F59,'BuyNow Redirects'!$C$2:$J$37,8,FALSE),"")</f>
        <v/>
      </c>
      <c r="M59" s="6" t="n"/>
      <c r="N59" s="6" t="n"/>
      <c r="O59" s="6" t="n"/>
      <c r="P59" s="6" t="n"/>
      <c r="Q59" s="6" t="n"/>
      <c r="R59" s="6" t="n"/>
      <c r="S59" s="6" t="n"/>
      <c r="T59" s="6" t="n"/>
      <c r="U59" s="6" t="n"/>
      <c r="V59" s="6" t="n"/>
      <c r="W59" s="6" t="n"/>
      <c r="X59" s="6" t="n"/>
      <c r="Y59" s="6" t="n"/>
      <c r="Z59" s="6" t="n"/>
    </row>
    <row r="60" ht="21" customHeight="1" s="37">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11" t="inlineStr">
        <is>
          <t>AI-Powered Retail | Jonathan Harris</t>
        </is>
      </c>
      <c r="E60" s="11" t="inlineStr">
        <is>
          <t>Canonical ebook route</t>
        </is>
      </c>
      <c r="F60" s="12" t="inlineStr">
        <is>
          <t>https://jonathan-harris.online/ebooks/artificial-intelligence-powered-retail-revolutionizing-customer-experience-for-a-sustainable-future/buy-now</t>
        </is>
      </c>
      <c r="G60" s="12" t="inlineStr">
        <is>
          <t>https://mybook.to/POYR</t>
        </is>
      </c>
      <c r="H60" s="11" t="n"/>
      <c r="I60" s="11">
        <f>IFERROR(VLOOKUP($F60,'BuyNow Redirects'!$C$2:$J$37,5,FALSE),"")</f>
        <v/>
      </c>
      <c r="J60" s="13">
        <f>IFERROR(VLOOKUP($F60,'BuyNow Redirects'!$C$2:$J$37,6,FALSE),"")</f>
        <v/>
      </c>
      <c r="K60" s="14">
        <f>IFERROR(VLOOKUP($F60,'BuyNow Redirects'!$C$2:$J$37,7,FALSE),"")</f>
        <v/>
      </c>
      <c r="L60" s="23">
        <f>IFERROR(VLOOKUP($F60,'BuyNow Redirects'!$C$2:$J$37,8,FALSE),"")</f>
        <v/>
      </c>
      <c r="M60" s="6" t="n"/>
      <c r="N60" s="6" t="n"/>
      <c r="O60" s="6" t="n"/>
      <c r="P60" s="6" t="n"/>
      <c r="Q60" s="6" t="n"/>
      <c r="R60" s="6" t="n"/>
      <c r="S60" s="6" t="n"/>
      <c r="T60" s="6" t="n"/>
      <c r="U60" s="6" t="n"/>
      <c r="V60" s="6" t="n"/>
      <c r="W60" s="6" t="n"/>
      <c r="X60" s="6" t="n"/>
      <c r="Y60" s="6" t="n"/>
      <c r="Z60" s="6" t="n"/>
    </row>
    <row r="61" ht="21" customHeight="1" s="37">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18" t="inlineStr">
        <is>
          <t>AI Revolution in Manufacturing | Jonathan Harris</t>
        </is>
      </c>
      <c r="E61" s="18" t="inlineStr">
        <is>
          <t>Canonical ebook route</t>
        </is>
      </c>
      <c r="F61" s="19" t="inlineStr">
        <is>
          <t>https://jonathan-harris.online/ebooks/artificial-intelligence-revolution-in-manufacturing-modernizing-operations-maintenance-and-service-delivery/buy-now</t>
        </is>
      </c>
      <c r="G61" s="19" t="inlineStr">
        <is>
          <t>https://mybook.to/SOAEb</t>
        </is>
      </c>
      <c r="H61" s="18" t="n"/>
      <c r="I61" s="18">
        <f>IFERROR(VLOOKUP($F61,'BuyNow Redirects'!$C$2:$J$37,5,FALSE),"")</f>
        <v/>
      </c>
      <c r="J61" s="20">
        <f>IFERROR(VLOOKUP($F61,'BuyNow Redirects'!$C$2:$J$37,6,FALSE),"")</f>
        <v/>
      </c>
      <c r="K61" s="21">
        <f>IFERROR(VLOOKUP($F61,'BuyNow Redirects'!$C$2:$J$37,7,FALSE),"")</f>
        <v/>
      </c>
      <c r="L61" s="22">
        <f>IFERROR(VLOOKUP($F61,'BuyNow Redirects'!$C$2:$J$37,8,FALSE),"")</f>
        <v/>
      </c>
      <c r="M61" s="6" t="n"/>
      <c r="N61" s="6" t="n"/>
      <c r="O61" s="6" t="n"/>
      <c r="P61" s="6" t="n"/>
      <c r="Q61" s="6" t="n"/>
      <c r="R61" s="6" t="n"/>
      <c r="S61" s="6" t="n"/>
      <c r="T61" s="6" t="n"/>
      <c r="U61" s="6" t="n"/>
      <c r="V61" s="6" t="n"/>
      <c r="W61" s="6" t="n"/>
      <c r="X61" s="6" t="n"/>
      <c r="Y61" s="6" t="n"/>
      <c r="Z61" s="6" t="n"/>
    </row>
    <row r="62" ht="21" customHeight="1" s="37">
      <c r="A62" s="8" t="inlineStr">
        <is>
          <t>ebooks/beyond-earth-how-ai-is-transforming-space-exploration/index.html</t>
        </is>
      </c>
      <c r="B62" s="9" t="inlineStr">
        <is>
          <t>/ebooks/beyond-earth-how-ai-is-transforming-space-exploration/</t>
        </is>
      </c>
      <c r="C62" s="10">
        <f>$B$1&amp;B62</f>
        <v/>
      </c>
      <c r="D62" s="11" t="inlineStr">
        <is>
          <t>Beyond Earth: AI in Space | Jonathan Harris</t>
        </is>
      </c>
      <c r="E62" s="11" t="inlineStr">
        <is>
          <t>Canonical ebook route</t>
        </is>
      </c>
      <c r="F62" s="12" t="inlineStr">
        <is>
          <t>https://jonathan-harris.online/ebooks/beyond-earth-how-ai-is-transforming-space-exploration/buy-now</t>
        </is>
      </c>
      <c r="G62" s="12" t="inlineStr">
        <is>
          <t>https://mybook.to/iY9m</t>
        </is>
      </c>
      <c r="H62" s="11" t="n"/>
      <c r="I62" s="11">
        <f>IFERROR(VLOOKUP($F62,'BuyNow Redirects'!$C$2:$J$37,5,FALSE),"")</f>
        <v/>
      </c>
      <c r="J62" s="13">
        <f>IFERROR(VLOOKUP($F62,'BuyNow Redirects'!$C$2:$J$37,6,FALSE),"")</f>
        <v/>
      </c>
      <c r="K62" s="14">
        <f>IFERROR(VLOOKUP($F62,'BuyNow Redirects'!$C$2:$J$37,7,FALSE),"")</f>
        <v/>
      </c>
      <c r="L62" s="23">
        <f>IFERROR(VLOOKUP($F62,'BuyNow Redirects'!$C$2:$J$37,8,FALSE),"")</f>
        <v/>
      </c>
      <c r="M62" s="6" t="n"/>
      <c r="N62" s="6" t="n"/>
      <c r="O62" s="6" t="n"/>
      <c r="P62" s="6" t="n"/>
      <c r="Q62" s="6" t="n"/>
      <c r="R62" s="6" t="n"/>
      <c r="S62" s="6" t="n"/>
      <c r="T62" s="6" t="n"/>
      <c r="U62" s="6" t="n"/>
      <c r="V62" s="6" t="n"/>
      <c r="W62" s="6" t="n"/>
      <c r="X62" s="6" t="n"/>
      <c r="Y62" s="6" t="n"/>
      <c r="Z62" s="6" t="n"/>
    </row>
    <row r="63" ht="21" customHeight="1" s="37">
      <c r="A63" s="15" t="inlineStr">
        <is>
          <t>ebooks/climate-intelligence-harnessing-ai-for-a-greener-future/index.html</t>
        </is>
      </c>
      <c r="B63" s="16" t="inlineStr">
        <is>
          <t>/ebooks/climate-intelligence-harnessing-ai-for-a-greener-future/</t>
        </is>
      </c>
      <c r="C63" s="17">
        <f>$B$1&amp;B63</f>
        <v/>
      </c>
      <c r="D63" s="18" t="inlineStr">
        <is>
          <t>Climate Intelligence | Jonathan Harris</t>
        </is>
      </c>
      <c r="E63" s="18" t="inlineStr">
        <is>
          <t>Canonical ebook route</t>
        </is>
      </c>
      <c r="F63" s="19" t="inlineStr">
        <is>
          <t>https://jonathan-harris.online/ebooks/climate-intelligence-harnessing-ai-for-a-greener-future/buy-now</t>
        </is>
      </c>
      <c r="G63" s="19" t="inlineStr">
        <is>
          <t>https://mybook.to/aKj8Fh</t>
        </is>
      </c>
      <c r="H63" s="18" t="n"/>
      <c r="I63" s="18">
        <f>IFERROR(VLOOKUP($F63,'BuyNow Redirects'!$C$2:$J$37,5,FALSE),"")</f>
        <v/>
      </c>
      <c r="J63" s="20">
        <f>IFERROR(VLOOKUP($F63,'BuyNow Redirects'!$C$2:$J$37,6,FALSE),"")</f>
        <v/>
      </c>
      <c r="K63" s="21">
        <f>IFERROR(VLOOKUP($F63,'BuyNow Redirects'!$C$2:$J$37,7,FALSE),"")</f>
        <v/>
      </c>
      <c r="L63" s="22">
        <f>IFERROR(VLOOKUP($F63,'BuyNow Redirects'!$C$2:$J$37,8,FALSE),"")</f>
        <v/>
      </c>
      <c r="M63" s="6" t="n"/>
      <c r="N63" s="6" t="n"/>
      <c r="O63" s="6" t="n"/>
      <c r="P63" s="6" t="n"/>
      <c r="Q63" s="6" t="n"/>
      <c r="R63" s="6" t="n"/>
      <c r="S63" s="6" t="n"/>
      <c r="T63" s="6" t="n"/>
      <c r="U63" s="6" t="n"/>
      <c r="V63" s="6" t="n"/>
      <c r="W63" s="6" t="n"/>
      <c r="X63" s="6" t="n"/>
      <c r="Y63" s="6" t="n"/>
      <c r="Z63" s="6" t="n"/>
    </row>
    <row r="64" ht="21" customHeight="1" s="37">
      <c r="A64" s="8" t="inlineStr">
        <is>
          <t>ebooks/digital-defense-the-role-of-ai-in-modern-warfare/index.html</t>
        </is>
      </c>
      <c r="B64" s="9" t="inlineStr">
        <is>
          <t>/ebooks/digital-defense-the-role-of-ai-in-modern-warfare/</t>
        </is>
      </c>
      <c r="C64" s="10">
        <f>$B$1&amp;B64</f>
        <v/>
      </c>
      <c r="D64" s="11" t="inlineStr">
        <is>
          <t>Digital Defense and AI | Jonathan Harris</t>
        </is>
      </c>
      <c r="E64" s="11" t="inlineStr">
        <is>
          <t>Canonical ebook route</t>
        </is>
      </c>
      <c r="F64" s="12" t="inlineStr">
        <is>
          <t>https://jonathan-harris.online/ebooks/digital-defense-the-role-of-ai-in-modern-warfare/buy-now</t>
        </is>
      </c>
      <c r="G64" s="12" t="inlineStr">
        <is>
          <t>https://mybook.to/digitaldefense</t>
        </is>
      </c>
      <c r="H64" s="11" t="n"/>
      <c r="I64" s="11">
        <f>IFERROR(VLOOKUP($F64,'BuyNow Redirects'!$C$2:$J$37,5,FALSE),"")</f>
        <v/>
      </c>
      <c r="J64" s="13">
        <f>IFERROR(VLOOKUP($F64,'BuyNow Redirects'!$C$2:$J$37,6,FALSE),"")</f>
        <v/>
      </c>
      <c r="K64" s="14">
        <f>IFERROR(VLOOKUP($F64,'BuyNow Redirects'!$C$2:$J$37,7,FALSE),"")</f>
        <v/>
      </c>
      <c r="L64" s="23">
        <f>IFERROR(VLOOKUP($F64,'BuyNow Redirects'!$C$2:$J$37,8,FALSE),"")</f>
        <v/>
      </c>
      <c r="M64" s="6" t="n"/>
      <c r="N64" s="6" t="n"/>
      <c r="O64" s="6" t="n"/>
      <c r="P64" s="6" t="n"/>
      <c r="Q64" s="6" t="n"/>
      <c r="R64" s="6" t="n"/>
      <c r="S64" s="6" t="n"/>
      <c r="T64" s="6" t="n"/>
      <c r="U64" s="6" t="n"/>
      <c r="V64" s="6" t="n"/>
      <c r="W64" s="6" t="n"/>
      <c r="X64" s="6" t="n"/>
      <c r="Y64" s="6" t="n"/>
      <c r="Z64" s="6" t="n"/>
    </row>
    <row r="65" ht="21" customHeight="1" s="37">
      <c r="A65" s="15" t="inlineStr">
        <is>
          <t>ebooks/digital-diagnosis-how-ai-is-revolutionizing-healthcare/index.html</t>
        </is>
      </c>
      <c r="B65" s="16" t="inlineStr">
        <is>
          <t>/ebooks/digital-diagnosis-how-ai-is-revolutionizing-healthcare/</t>
        </is>
      </c>
      <c r="C65" s="17">
        <f>$B$1&amp;B65</f>
        <v/>
      </c>
      <c r="D65" s="18" t="inlineStr">
        <is>
          <t>Digital Diagnosis | Jonathan Harris</t>
        </is>
      </c>
      <c r="E65" s="18" t="inlineStr">
        <is>
          <t>Canonical ebook route</t>
        </is>
      </c>
      <c r="F65" s="19" t="inlineStr">
        <is>
          <t>https://jonathan-harris.online/ebooks/digital-diagnosis-how-ai-is-revolutionizing-healthcare/buy-now</t>
        </is>
      </c>
      <c r="G65" s="19" t="inlineStr">
        <is>
          <t>https://mybook.to/hrnKOD</t>
        </is>
      </c>
      <c r="H65" s="18" t="n"/>
      <c r="I65" s="18">
        <f>IFERROR(VLOOKUP($F65,'BuyNow Redirects'!$C$2:$J$37,5,FALSE),"")</f>
        <v/>
      </c>
      <c r="J65" s="20">
        <f>IFERROR(VLOOKUP($F65,'BuyNow Redirects'!$C$2:$J$37,6,FALSE),"")</f>
        <v/>
      </c>
      <c r="K65" s="21">
        <f>IFERROR(VLOOKUP($F65,'BuyNow Redirects'!$C$2:$J$37,7,FALSE),"")</f>
        <v/>
      </c>
      <c r="L65" s="22">
        <f>IFERROR(VLOOKUP($F65,'BuyNow Redirects'!$C$2:$J$37,8,FALSE),"")</f>
        <v/>
      </c>
      <c r="M65" s="6" t="n"/>
      <c r="N65" s="6" t="n"/>
      <c r="O65" s="6" t="n"/>
      <c r="P65" s="6" t="n"/>
      <c r="Q65" s="6" t="n"/>
      <c r="R65" s="6" t="n"/>
      <c r="S65" s="6" t="n"/>
      <c r="T65" s="6" t="n"/>
      <c r="U65" s="6" t="n"/>
      <c r="V65" s="6" t="n"/>
      <c r="W65" s="6" t="n"/>
      <c r="X65" s="6" t="n"/>
      <c r="Y65" s="6" t="n"/>
      <c r="Z65" s="6" t="n"/>
    </row>
    <row r="66" ht="21" customHeight="1" s="37">
      <c r="A66" s="8" t="inlineStr">
        <is>
          <t>ebooks/from-reporters-to-robots-how-ai-is-reshaping-journalism/index.html</t>
        </is>
      </c>
      <c r="B66" s="9" t="inlineStr">
        <is>
          <t>/ebooks/from-reporters-to-robots-how-ai-is-reshaping-journalism/</t>
        </is>
      </c>
      <c r="C66" s="10">
        <f>$B$1&amp;B66</f>
        <v/>
      </c>
      <c r="D66" s="11" t="inlineStr">
        <is>
          <t>From Reporters to Robots | Jonathan Harris</t>
        </is>
      </c>
      <c r="E66" s="11" t="inlineStr">
        <is>
          <t>Canonical ebook route</t>
        </is>
      </c>
      <c r="F66" s="12" t="inlineStr">
        <is>
          <t>https://jonathan-harris.online/ebooks/from-reporters-to-robots-how-ai-is-reshaping-journalism/buy-now</t>
        </is>
      </c>
      <c r="G66" s="12" t="inlineStr">
        <is>
          <t>https://mybook.to/DWfAK</t>
        </is>
      </c>
      <c r="H66" s="11" t="n"/>
      <c r="I66" s="11">
        <f>IFERROR(VLOOKUP($F66,'BuyNow Redirects'!$C$2:$J$37,5,FALSE),"")</f>
        <v/>
      </c>
      <c r="J66" s="13">
        <f>IFERROR(VLOOKUP($F66,'BuyNow Redirects'!$C$2:$J$37,6,FALSE),"")</f>
        <v/>
      </c>
      <c r="K66" s="14">
        <f>IFERROR(VLOOKUP($F66,'BuyNow Redirects'!$C$2:$J$37,7,FALSE),"")</f>
        <v/>
      </c>
      <c r="L66" s="23">
        <f>IFERROR(VLOOKUP($F66,'BuyNow Redirects'!$C$2:$J$37,8,FALSE),"")</f>
        <v/>
      </c>
      <c r="M66" s="6" t="n"/>
      <c r="N66" s="6" t="n"/>
      <c r="O66" s="6" t="n"/>
      <c r="P66" s="6" t="n"/>
      <c r="Q66" s="6" t="n"/>
      <c r="R66" s="6" t="n"/>
      <c r="S66" s="6" t="n"/>
      <c r="T66" s="6" t="n"/>
      <c r="U66" s="6" t="n"/>
      <c r="V66" s="6" t="n"/>
      <c r="W66" s="6" t="n"/>
      <c r="X66" s="6" t="n"/>
      <c r="Y66" s="6" t="n"/>
      <c r="Z66" s="6" t="n"/>
    </row>
    <row r="67" ht="21" customHeight="1" s="37">
      <c r="A67" s="15" t="inlineStr">
        <is>
          <t>ebooks/game-ai-unleashed-from-finite-state-machines-to-machine-learning/index.html</t>
        </is>
      </c>
      <c r="B67" s="16" t="inlineStr">
        <is>
          <t>/ebooks/game-ai-unleashed-from-finite-state-machines-to-machine-learning/</t>
        </is>
      </c>
      <c r="C67" s="17">
        <f>$B$1&amp;B67</f>
        <v/>
      </c>
      <c r="D67" s="18" t="inlineStr">
        <is>
          <t>Game AI Unleashed | Jonathan Harris</t>
        </is>
      </c>
      <c r="E67" s="18" t="inlineStr">
        <is>
          <t>Canonical ebook route</t>
        </is>
      </c>
      <c r="F67" s="19" t="inlineStr">
        <is>
          <t>https://jonathan-harris.online/ebooks/game-ai-unleashed-from-finite-state-machines-to-machine-learning/buy-now</t>
        </is>
      </c>
      <c r="G67" s="19" t="inlineStr">
        <is>
          <t>https://mybook.to/e7GozY6</t>
        </is>
      </c>
      <c r="H67" s="18" t="n"/>
      <c r="I67" s="18">
        <f>IFERROR(VLOOKUP($F67,'BuyNow Redirects'!$C$2:$J$37,5,FALSE),"")</f>
        <v/>
      </c>
      <c r="J67" s="20">
        <f>IFERROR(VLOOKUP($F67,'BuyNow Redirects'!$C$2:$J$37,6,FALSE),"")</f>
        <v/>
      </c>
      <c r="K67" s="21">
        <f>IFERROR(VLOOKUP($F67,'BuyNow Redirects'!$C$2:$J$37,7,FALSE),"")</f>
        <v/>
      </c>
      <c r="L67" s="22">
        <f>IFERROR(VLOOKUP($F67,'BuyNow Redirects'!$C$2:$J$37,8,FALSE),"")</f>
        <v/>
      </c>
      <c r="M67" s="6" t="n"/>
      <c r="N67" s="6" t="n"/>
      <c r="O67" s="6" t="n"/>
      <c r="P67" s="6" t="n"/>
      <c r="Q67" s="6" t="n"/>
      <c r="R67" s="6" t="n"/>
      <c r="S67" s="6" t="n"/>
      <c r="T67" s="6" t="n"/>
      <c r="U67" s="6" t="n"/>
      <c r="V67" s="6" t="n"/>
      <c r="W67" s="6" t="n"/>
      <c r="X67" s="6" t="n"/>
      <c r="Y67" s="6" t="n"/>
      <c r="Z67" s="6" t="n"/>
    </row>
    <row r="68" ht="21" customHeight="1" s="37">
      <c r="A68" s="8" t="inlineStr">
        <is>
          <t>ebooks/lights-camera-algorithm-ai-s-role-in-modern-filmmaking/index.html</t>
        </is>
      </c>
      <c r="B68" s="9" t="inlineStr">
        <is>
          <t>/ebooks/lights-camera-algorithm-ai-s-role-in-modern-filmmaking/</t>
        </is>
      </c>
      <c r="C68" s="10">
        <f>$B$1&amp;B68</f>
        <v/>
      </c>
      <c r="D68" s="11" t="inlineStr">
        <is>
          <t>Lights, Camera, Algorithm | Jonathan Harris</t>
        </is>
      </c>
      <c r="E68" s="11" t="inlineStr">
        <is>
          <t>Canonical ebook route</t>
        </is>
      </c>
      <c r="F68" s="12" t="inlineStr">
        <is>
          <t>https://jonathan-harris.online/ebooks/lights-camera-algorithm-ai-s-role-in-modern-filmmaking/buy-now</t>
        </is>
      </c>
      <c r="G68" s="12" t="inlineStr">
        <is>
          <t>https://mybook.to/EcO2DI</t>
        </is>
      </c>
      <c r="H68" s="11" t="n"/>
      <c r="I68" s="11">
        <f>IFERROR(VLOOKUP($F68,'BuyNow Redirects'!$C$2:$J$37,5,FALSE),"")</f>
        <v/>
      </c>
      <c r="J68" s="13">
        <f>IFERROR(VLOOKUP($F68,'BuyNow Redirects'!$C$2:$J$37,6,FALSE),"")</f>
        <v/>
      </c>
      <c r="K68" s="14">
        <f>IFERROR(VLOOKUP($F68,'BuyNow Redirects'!$C$2:$J$37,7,FALSE),"")</f>
        <v/>
      </c>
      <c r="L68" s="23">
        <f>IFERROR(VLOOKUP($F68,'BuyNow Redirects'!$C$2:$J$37,8,FALSE),"")</f>
        <v/>
      </c>
      <c r="M68" s="6" t="n"/>
      <c r="N68" s="6" t="n"/>
      <c r="O68" s="6" t="n"/>
      <c r="P68" s="6" t="n"/>
      <c r="Q68" s="6" t="n"/>
      <c r="R68" s="6" t="n"/>
      <c r="S68" s="6" t="n"/>
      <c r="T68" s="6" t="n"/>
      <c r="U68" s="6" t="n"/>
      <c r="V68" s="6" t="n"/>
      <c r="W68" s="6" t="n"/>
      <c r="X68" s="6" t="n"/>
      <c r="Y68" s="6" t="n"/>
      <c r="Z68" s="6" t="n"/>
    </row>
    <row r="69" ht="21" customHeight="1" s="37">
      <c r="A69" s="15" t="inlineStr">
        <is>
          <t>ebooks/smart-buildings-ai-powered-efficiency-and-sustainability/index.html</t>
        </is>
      </c>
      <c r="B69" s="16" t="inlineStr">
        <is>
          <t>/ebooks/smart-buildings-ai-powered-efficiency-and-sustainability/</t>
        </is>
      </c>
      <c r="C69" s="17">
        <f>$B$1&amp;B69</f>
        <v/>
      </c>
      <c r="D69" s="18" t="inlineStr">
        <is>
          <t>Smart Buildings and AI | Jonathan Harris</t>
        </is>
      </c>
      <c r="E69" s="18" t="inlineStr">
        <is>
          <t>Canonical ebook route</t>
        </is>
      </c>
      <c r="F69" s="19" t="inlineStr">
        <is>
          <t>https://jonathan-harris.online/ebooks/smart-buildings-ai-powered-efficiency-and-sustainability/buy-now</t>
        </is>
      </c>
      <c r="G69" s="19" t="inlineStr">
        <is>
          <t>https://mybook.to/QEcdy</t>
        </is>
      </c>
      <c r="H69" s="18" t="n"/>
      <c r="I69" s="18">
        <f>IFERROR(VLOOKUP($F69,'BuyNow Redirects'!$C$2:$J$37,5,FALSE),"")</f>
        <v/>
      </c>
      <c r="J69" s="20">
        <f>IFERROR(VLOOKUP($F69,'BuyNow Redirects'!$C$2:$J$37,6,FALSE),"")</f>
        <v/>
      </c>
      <c r="K69" s="21">
        <f>IFERROR(VLOOKUP($F69,'BuyNow Redirects'!$C$2:$J$37,7,FALSE),"")</f>
        <v/>
      </c>
      <c r="L69" s="22">
        <f>IFERROR(VLOOKUP($F69,'BuyNow Redirects'!$C$2:$J$37,8,FALSE),"")</f>
        <v/>
      </c>
      <c r="M69" s="6" t="n"/>
      <c r="N69" s="6" t="n"/>
      <c r="O69" s="6" t="n"/>
      <c r="P69" s="6" t="n"/>
      <c r="Q69" s="6" t="n"/>
      <c r="R69" s="6" t="n"/>
      <c r="S69" s="6" t="n"/>
      <c r="T69" s="6" t="n"/>
      <c r="U69" s="6" t="n"/>
      <c r="V69" s="6" t="n"/>
      <c r="W69" s="6" t="n"/>
      <c r="X69" s="6" t="n"/>
      <c r="Y69" s="6" t="n"/>
      <c r="Z69" s="6" t="n"/>
    </row>
    <row r="70" ht="21" customHeight="1" s="37">
      <c r="A70" s="8" t="inlineStr">
        <is>
          <t>ebooks/the-ai-behind-your-feed-personalization-moderation-and-the-future-of-social-media/index.html</t>
        </is>
      </c>
      <c r="B70" s="9" t="inlineStr">
        <is>
          <t>/ebooks/the-ai-behind-your-feed-personalization-moderation-and-the-future-of-social-media/</t>
        </is>
      </c>
      <c r="C70" s="10">
        <f>$B$1&amp;B70</f>
        <v/>
      </c>
      <c r="D70" s="11" t="inlineStr">
        <is>
          <t>The AI Behind Your Feed | Jonathan Harris</t>
        </is>
      </c>
      <c r="E70" s="11" t="inlineStr">
        <is>
          <t>Canonical ebook route</t>
        </is>
      </c>
      <c r="F70" s="12" t="inlineStr">
        <is>
          <t>https://jonathan-harris.online/ebooks/the-ai-behind-your-feed-personalization-moderation-and-the-future-of-social-media/buy-now</t>
        </is>
      </c>
      <c r="G70" s="12" t="inlineStr">
        <is>
          <t>https://mybook.to/rNRr</t>
        </is>
      </c>
      <c r="H70" s="11" t="n"/>
      <c r="I70" s="11">
        <f>IFERROR(VLOOKUP($F70,'BuyNow Redirects'!$C$2:$J$37,5,FALSE),"")</f>
        <v/>
      </c>
      <c r="J70" s="13">
        <f>IFERROR(VLOOKUP($F70,'BuyNow Redirects'!$C$2:$J$37,6,FALSE),"")</f>
        <v/>
      </c>
      <c r="K70" s="14">
        <f>IFERROR(VLOOKUP($F70,'BuyNow Redirects'!$C$2:$J$37,7,FALSE),"")</f>
        <v/>
      </c>
      <c r="L70" s="23">
        <f>IFERROR(VLOOKUP($F70,'BuyNow Redirects'!$C$2:$J$37,8,FALSE),"")</f>
        <v/>
      </c>
      <c r="M70" s="6" t="n"/>
      <c r="N70" s="6" t="n"/>
      <c r="O70" s="6" t="n"/>
      <c r="P70" s="6" t="n"/>
      <c r="Q70" s="6" t="n"/>
      <c r="R70" s="6" t="n"/>
      <c r="S70" s="6" t="n"/>
      <c r="T70" s="6" t="n"/>
      <c r="U70" s="6" t="n"/>
      <c r="V70" s="6" t="n"/>
      <c r="W70" s="6" t="n"/>
      <c r="X70" s="6" t="n"/>
      <c r="Y70" s="6" t="n"/>
      <c r="Z70" s="6" t="n"/>
    </row>
    <row r="71" ht="21" customHeight="1" s="37">
      <c r="A71" s="15" t="inlineStr">
        <is>
          <t>ebooks/the-ai-music-revolution-creativity-controversy-and-collaboration/index.html</t>
        </is>
      </c>
      <c r="B71" s="16" t="inlineStr">
        <is>
          <t>/ebooks/the-ai-music-revolution-creativity-controversy-and-collaboration/</t>
        </is>
      </c>
      <c r="C71" s="17">
        <f>$B$1&amp;B71</f>
        <v/>
      </c>
      <c r="D71" s="18" t="inlineStr">
        <is>
          <t>The AI Music Revolution | Jonathan Harris</t>
        </is>
      </c>
      <c r="E71" s="18" t="inlineStr">
        <is>
          <t>Canonical ebook route</t>
        </is>
      </c>
      <c r="F71" s="19" t="inlineStr">
        <is>
          <t>https://jonathan-harris.online/ebooks/the-ai-music-revolution-creativity-controversy-and-collaboration/buy-now</t>
        </is>
      </c>
      <c r="G71" s="19" t="inlineStr">
        <is>
          <t>https://mybook.to/Io32sC3</t>
        </is>
      </c>
      <c r="H71" s="18" t="n"/>
      <c r="I71" s="18">
        <f>IFERROR(VLOOKUP($F71,'BuyNow Redirects'!$C$2:$J$37,5,FALSE),"")</f>
        <v/>
      </c>
      <c r="J71" s="20">
        <f>IFERROR(VLOOKUP($F71,'BuyNow Redirects'!$C$2:$J$37,6,FALSE),"")</f>
        <v/>
      </c>
      <c r="K71" s="21">
        <f>IFERROR(VLOOKUP($F71,'BuyNow Redirects'!$C$2:$J$37,7,FALSE),"")</f>
        <v/>
      </c>
      <c r="L71" s="22">
        <f>IFERROR(VLOOKUP($F71,'BuyNow Redirects'!$C$2:$J$37,8,FALSE),"")</f>
        <v/>
      </c>
      <c r="M71" s="6" t="n"/>
      <c r="N71" s="6" t="n"/>
      <c r="O71" s="6" t="n"/>
      <c r="P71" s="6" t="n"/>
      <c r="Q71" s="6" t="n"/>
      <c r="R71" s="6" t="n"/>
      <c r="S71" s="6" t="n"/>
      <c r="T71" s="6" t="n"/>
      <c r="U71" s="6" t="n"/>
      <c r="V71" s="6" t="n"/>
      <c r="W71" s="6" t="n"/>
      <c r="X71" s="6" t="n"/>
      <c r="Y71" s="6" t="n"/>
      <c r="Z71" s="6" t="n"/>
    </row>
    <row r="72" ht="21" customHeight="1" s="37">
      <c r="A72" s="8" t="inlineStr">
        <is>
          <t>ebooks/the-architects-of-ai-pioneers-breakthroughs-and-the-road-ahead/index.html</t>
        </is>
      </c>
      <c r="B72" s="9" t="inlineStr">
        <is>
          <t>/ebooks/the-architects-of-ai-pioneers-breakthroughs-and-the-road-ahead/</t>
        </is>
      </c>
      <c r="C72" s="10">
        <f>$B$1&amp;B72</f>
        <v/>
      </c>
      <c r="D72" s="11" t="inlineStr">
        <is>
          <t>The Architects of AI | Jonathan Harris</t>
        </is>
      </c>
      <c r="E72" s="11" t="inlineStr">
        <is>
          <t>Canonical ebook route</t>
        </is>
      </c>
      <c r="F72" s="12" t="inlineStr">
        <is>
          <t>https://jonathan-harris.online/ebooks/the-architects-of-ai-pioneers-breakthroughs-and-the-road-ahead/buy-now</t>
        </is>
      </c>
      <c r="G72" s="12" t="inlineStr">
        <is>
          <t>https://mybook.to/qFAI</t>
        </is>
      </c>
      <c r="H72" s="11" t="n"/>
      <c r="I72" s="11">
        <f>IFERROR(VLOOKUP($F72,'BuyNow Redirects'!$C$2:$J$37,5,FALSE),"")</f>
        <v/>
      </c>
      <c r="J72" s="13">
        <f>IFERROR(VLOOKUP($F72,'BuyNow Redirects'!$C$2:$J$37,6,FALSE),"")</f>
        <v/>
      </c>
      <c r="K72" s="14">
        <f>IFERROR(VLOOKUP($F72,'BuyNow Redirects'!$C$2:$J$37,7,FALSE),"")</f>
        <v/>
      </c>
      <c r="L72" s="23">
        <f>IFERROR(VLOOKUP($F72,'BuyNow Redirects'!$C$2:$J$37,8,FALSE),"")</f>
        <v/>
      </c>
      <c r="M72" s="6" t="n"/>
      <c r="N72" s="6" t="n"/>
      <c r="O72" s="6" t="n"/>
      <c r="P72" s="6" t="n"/>
      <c r="Q72" s="6" t="n"/>
      <c r="R72" s="6" t="n"/>
      <c r="S72" s="6" t="n"/>
      <c r="T72" s="6" t="n"/>
      <c r="U72" s="6" t="n"/>
      <c r="V72" s="6" t="n"/>
      <c r="W72" s="6" t="n"/>
      <c r="X72" s="6" t="n"/>
      <c r="Y72" s="6" t="n"/>
      <c r="Z72" s="6" t="n"/>
    </row>
    <row r="73" ht="21" customHeight="1" s="37">
      <c r="A73" s="15" t="inlineStr">
        <is>
          <t>ebooks/the-artificial-intelligence-job-shift-navigating-the-future-of-work/index.html</t>
        </is>
      </c>
      <c r="B73" s="16" t="inlineStr">
        <is>
          <t>/ebooks/the-artificial-intelligence-job-shift-navigating-the-future-of-work/</t>
        </is>
      </c>
      <c r="C73" s="17">
        <f>$B$1&amp;B73</f>
        <v/>
      </c>
      <c r="D73" s="18" t="inlineStr">
        <is>
          <t>The AI Job Shift | Jonathan Harris</t>
        </is>
      </c>
      <c r="E73" s="18" t="inlineStr">
        <is>
          <t>Canonical ebook route</t>
        </is>
      </c>
      <c r="F73" s="19" t="inlineStr">
        <is>
          <t>https://jonathan-harris.online/ebooks/the-artificial-intelligence-job-shift-navigating-the-future-of-work/buy-now</t>
        </is>
      </c>
      <c r="G73" s="19" t="inlineStr">
        <is>
          <t>https://mybook.to/aijobshift</t>
        </is>
      </c>
      <c r="H73" s="18" t="n"/>
      <c r="I73" s="18">
        <f>IFERROR(VLOOKUP($F73,'BuyNow Redirects'!$C$2:$J$37,5,FALSE),"")</f>
        <v/>
      </c>
      <c r="J73" s="20">
        <f>IFERROR(VLOOKUP($F73,'BuyNow Redirects'!$C$2:$J$37,6,FALSE),"")</f>
        <v/>
      </c>
      <c r="K73" s="21">
        <f>IFERROR(VLOOKUP($F73,'BuyNow Redirects'!$C$2:$J$37,7,FALSE),"")</f>
        <v/>
      </c>
      <c r="L73" s="22">
        <f>IFERROR(VLOOKUP($F73,'BuyNow Redirects'!$C$2:$J$37,8,FALSE),"")</f>
        <v/>
      </c>
      <c r="M73" s="6" t="n"/>
      <c r="N73" s="6" t="n"/>
      <c r="O73" s="6" t="n"/>
      <c r="P73" s="6" t="n"/>
      <c r="Q73" s="6" t="n"/>
      <c r="R73" s="6" t="n"/>
      <c r="S73" s="6" t="n"/>
      <c r="T73" s="6" t="n"/>
      <c r="U73" s="6" t="n"/>
      <c r="V73" s="6" t="n"/>
      <c r="W73" s="6" t="n"/>
      <c r="X73" s="6" t="n"/>
      <c r="Y73" s="6" t="n"/>
      <c r="Z73" s="6" t="n"/>
    </row>
    <row r="74" ht="21" customHeight="1" s="37">
      <c r="A74" s="8" t="inlineStr">
        <is>
          <t>ebooks/the-artificial-intelligence-revolution-from-algorithms-to-consciousness/index.html</t>
        </is>
      </c>
      <c r="B74" s="9" t="inlineStr">
        <is>
          <t>/ebooks/the-artificial-intelligence-revolution-from-algorithms-to-consciousness/</t>
        </is>
      </c>
      <c r="C74" s="10">
        <f>$B$1&amp;B74</f>
        <v/>
      </c>
      <c r="D74" s="11" t="inlineStr">
        <is>
          <t>The AI Revolution | Jonathan Harris</t>
        </is>
      </c>
      <c r="E74" s="11" t="inlineStr">
        <is>
          <t>Canonical ebook route</t>
        </is>
      </c>
      <c r="F74" s="12" t="inlineStr">
        <is>
          <t>https://jonathan-harris.online/ebooks/the-artificial-intelligence-revolution-from-algorithms-to-consciousness/buy-now</t>
        </is>
      </c>
      <c r="G74" s="12" t="inlineStr">
        <is>
          <t>https://mybook.to/YYLW</t>
        </is>
      </c>
      <c r="H74" s="11" t="n"/>
      <c r="I74" s="11">
        <f>IFERROR(VLOOKUP($F74,'BuyNow Redirects'!$C$2:$J$37,5,FALSE),"")</f>
        <v/>
      </c>
      <c r="J74" s="13">
        <f>IFERROR(VLOOKUP($F74,'BuyNow Redirects'!$C$2:$J$37,6,FALSE),"")</f>
        <v/>
      </c>
      <c r="K74" s="14">
        <f>IFERROR(VLOOKUP($F74,'BuyNow Redirects'!$C$2:$J$37,7,FALSE),"")</f>
        <v/>
      </c>
      <c r="L74" s="23">
        <f>IFERROR(VLOOKUP($F74,'BuyNow Redirects'!$C$2:$J$37,8,FALSE),"")</f>
        <v/>
      </c>
      <c r="M74" s="6" t="n"/>
      <c r="N74" s="6" t="n"/>
      <c r="O74" s="6" t="n"/>
      <c r="P74" s="6" t="n"/>
      <c r="Q74" s="6" t="n"/>
      <c r="R74" s="6" t="n"/>
      <c r="S74" s="6" t="n"/>
      <c r="T74" s="6" t="n"/>
      <c r="U74" s="6" t="n"/>
      <c r="V74" s="6" t="n"/>
      <c r="W74" s="6" t="n"/>
      <c r="X74" s="6" t="n"/>
      <c r="Y74" s="6" t="n"/>
      <c r="Z74" s="6" t="n"/>
    </row>
    <row r="75" ht="21" customHeight="1" s="37">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18" t="inlineStr">
        <is>
          <t>The Autonomous Revolution | Jonathan Harris</t>
        </is>
      </c>
      <c r="E75" s="18" t="inlineStr">
        <is>
          <t>Canonical ebook route</t>
        </is>
      </c>
      <c r="F75" s="19" t="inlineStr">
        <is>
          <t>https://jonathan-harris.online/ebooks/the-autonomous-revolution-artificial-intelligence-and-the-future-of-the-automotive-industry/buy-now</t>
        </is>
      </c>
      <c r="G75" s="19" t="inlineStr">
        <is>
          <t>https://mybook.to/DS4Ag</t>
        </is>
      </c>
      <c r="H75" s="18" t="n"/>
      <c r="I75" s="18">
        <f>IFERROR(VLOOKUP($F75,'BuyNow Redirects'!$C$2:$J$37,5,FALSE),"")</f>
        <v/>
      </c>
      <c r="J75" s="20">
        <f>IFERROR(VLOOKUP($F75,'BuyNow Redirects'!$C$2:$J$37,6,FALSE),"")</f>
        <v/>
      </c>
      <c r="K75" s="21">
        <f>IFERROR(VLOOKUP($F75,'BuyNow Redirects'!$C$2:$J$37,7,FALSE),"")</f>
        <v/>
      </c>
      <c r="L75" s="22">
        <f>IFERROR(VLOOKUP($F75,'BuyNow Redirects'!$C$2:$J$37,8,FALSE),"")</f>
        <v/>
      </c>
      <c r="M75" s="6" t="n"/>
      <c r="N75" s="6" t="n"/>
      <c r="O75" s="6" t="n"/>
      <c r="P75" s="6" t="n"/>
      <c r="Q75" s="6" t="n"/>
      <c r="R75" s="6" t="n"/>
      <c r="S75" s="6" t="n"/>
      <c r="T75" s="6" t="n"/>
      <c r="U75" s="6" t="n"/>
      <c r="V75" s="6" t="n"/>
      <c r="W75" s="6" t="n"/>
      <c r="X75" s="6" t="n"/>
      <c r="Y75" s="6" t="n"/>
      <c r="Z75" s="6" t="n"/>
    </row>
    <row r="76" ht="21" customHeight="1" s="37">
      <c r="A76" s="8" t="inlineStr">
        <is>
          <t>ebooks/the-dumbening-how-ai-is-reshaping-our-minds/index.html</t>
        </is>
      </c>
      <c r="B76" s="9" t="inlineStr">
        <is>
          <t>/ebooks/the-dumbening-how-ai-is-reshaping-our-minds/</t>
        </is>
      </c>
      <c r="C76" s="10">
        <f>$B$1&amp;B76</f>
        <v/>
      </c>
      <c r="D76" s="11" t="inlineStr">
        <is>
          <t>The Dumbening: How AI is Reshaping Our Minds | Jonathan Harris</t>
        </is>
      </c>
      <c r="E76" s="11" t="inlineStr">
        <is>
          <t>Canonical ebook route</t>
        </is>
      </c>
      <c r="F76" s="12" t="inlineStr">
        <is>
          <t>https://jonathan-harris.online/ebooks/the-dumbening-how-ai-is-reshaping-our-minds/buy-now</t>
        </is>
      </c>
      <c r="G76" s="12" t="inlineStr">
        <is>
          <t>https://mybook.to/YcRiCRp</t>
        </is>
      </c>
      <c r="H76" s="11" t="n"/>
      <c r="I76" s="11">
        <f>IFERROR(VLOOKUP($F76,'BuyNow Redirects'!$C$2:$J$37,5,FALSE),"")</f>
        <v/>
      </c>
      <c r="J76" s="13">
        <f>IFERROR(VLOOKUP($F76,'BuyNow Redirects'!$C$2:$J$37,6,FALSE),"")</f>
        <v/>
      </c>
      <c r="K76" s="14">
        <f>IFERROR(VLOOKUP($F76,'BuyNow Redirects'!$C$2:$J$37,7,FALSE),"")</f>
        <v/>
      </c>
      <c r="L76" s="23">
        <f>IFERROR(VLOOKUP($F76,'BuyNow Redirects'!$C$2:$J$37,8,FALSE),"")</f>
        <v/>
      </c>
      <c r="M76" s="6" t="n"/>
      <c r="N76" s="6" t="n"/>
      <c r="O76" s="6" t="n"/>
      <c r="P76" s="6" t="n"/>
      <c r="Q76" s="6" t="n"/>
      <c r="R76" s="6" t="n"/>
      <c r="S76" s="6" t="n"/>
      <c r="T76" s="6" t="n"/>
      <c r="U76" s="6" t="n"/>
      <c r="V76" s="6" t="n"/>
      <c r="W76" s="6" t="n"/>
      <c r="X76" s="6" t="n"/>
      <c r="Y76" s="6" t="n"/>
      <c r="Z76" s="6" t="n"/>
    </row>
    <row r="77" ht="21" customHeight="1" s="37">
      <c r="A77" s="15" t="inlineStr">
        <is>
          <t>ebooks/the-future-of-government-leveraging-ai-to-enhance-services-and-safeguard-information/index.html</t>
        </is>
      </c>
      <c r="B77" s="16" t="inlineStr">
        <is>
          <t>/ebooks/the-future-of-government-leveraging-ai-to-enhance-services-and-safeguard-information/</t>
        </is>
      </c>
      <c r="C77" s="17">
        <f>$B$1&amp;B77</f>
        <v/>
      </c>
      <c r="D77" s="18" t="inlineStr">
        <is>
          <t>The Future of Government and AI | Jonathan Harris</t>
        </is>
      </c>
      <c r="E77" s="18" t="inlineStr">
        <is>
          <t>Canonical ebook route</t>
        </is>
      </c>
      <c r="F77" s="19" t="inlineStr">
        <is>
          <t>https://jonathan-harris.online/ebooks/the-future-of-government-leveraging-ai-to-enhance-services-and-safeguard-information/buy-now</t>
        </is>
      </c>
      <c r="G77" s="19" t="inlineStr">
        <is>
          <t>https://mybook.to/3TwcUA</t>
        </is>
      </c>
      <c r="H77" s="18" t="n"/>
      <c r="I77" s="18">
        <f>IFERROR(VLOOKUP($F77,'BuyNow Redirects'!$C$2:$J$37,5,FALSE),"")</f>
        <v/>
      </c>
      <c r="J77" s="20">
        <f>IFERROR(VLOOKUP($F77,'BuyNow Redirects'!$C$2:$J$37,6,FALSE),"")</f>
        <v/>
      </c>
      <c r="K77" s="21">
        <f>IFERROR(VLOOKUP($F77,'BuyNow Redirects'!$C$2:$J$37,7,FALSE),"")</f>
        <v/>
      </c>
      <c r="L77" s="22">
        <f>IFERROR(VLOOKUP($F77,'BuyNow Redirects'!$C$2:$J$37,8,FALSE),"")</f>
        <v/>
      </c>
      <c r="M77" s="6" t="n"/>
      <c r="N77" s="6" t="n"/>
      <c r="O77" s="6" t="n"/>
      <c r="P77" s="6" t="n"/>
      <c r="Q77" s="6" t="n"/>
      <c r="R77" s="6" t="n"/>
      <c r="S77" s="6" t="n"/>
      <c r="T77" s="6" t="n"/>
      <c r="U77" s="6" t="n"/>
      <c r="V77" s="6" t="n"/>
      <c r="W77" s="6" t="n"/>
      <c r="X77" s="6" t="n"/>
      <c r="Y77" s="6" t="n"/>
      <c r="Z77" s="6" t="n"/>
    </row>
    <row r="78" ht="21" customHeight="1" s="37">
      <c r="A78" s="8" t="inlineStr">
        <is>
          <t>ebooks/the-house-always-knows-ai-gambling-and-the-ethics-of-personalized-gaming/index.html</t>
        </is>
      </c>
      <c r="B78" s="9" t="inlineStr">
        <is>
          <t>/ebooks/the-house-always-knows-ai-gambling-and-the-ethics-of-personalized-gaming/</t>
        </is>
      </c>
      <c r="C78" s="10">
        <f>$B$1&amp;B78</f>
        <v/>
      </c>
      <c r="D78" s="11" t="inlineStr">
        <is>
          <t>The House Always Knows | Jonathan Harris</t>
        </is>
      </c>
      <c r="E78" s="11" t="inlineStr">
        <is>
          <t>Canonical ebook route</t>
        </is>
      </c>
      <c r="F78" s="12" t="inlineStr">
        <is>
          <t>https://jonathan-harris.online/ebooks/the-house-always-knows-ai-gambling-and-the-ethics-of-personalized-gaming/buy-now</t>
        </is>
      </c>
      <c r="G78" s="12" t="inlineStr">
        <is>
          <t>https://mybook.to/K7nVJGv</t>
        </is>
      </c>
      <c r="H78" s="11" t="n"/>
      <c r="I78" s="11">
        <f>IFERROR(VLOOKUP($F78,'BuyNow Redirects'!$C$2:$J$37,5,FALSE),"")</f>
        <v/>
      </c>
      <c r="J78" s="13">
        <f>IFERROR(VLOOKUP($F78,'BuyNow Redirects'!$C$2:$J$37,6,FALSE),"")</f>
        <v/>
      </c>
      <c r="K78" s="14">
        <f>IFERROR(VLOOKUP($F78,'BuyNow Redirects'!$C$2:$J$37,7,FALSE),"")</f>
        <v/>
      </c>
      <c r="L78" s="23">
        <f>IFERROR(VLOOKUP($F78,'BuyNow Redirects'!$C$2:$J$37,8,FALSE),"")</f>
        <v/>
      </c>
      <c r="M78" s="6" t="n"/>
      <c r="N78" s="6" t="n"/>
      <c r="O78" s="6" t="n"/>
      <c r="P78" s="6" t="n"/>
      <c r="Q78" s="6" t="n"/>
      <c r="R78" s="6" t="n"/>
      <c r="S78" s="6" t="n"/>
      <c r="T78" s="6" t="n"/>
      <c r="U78" s="6" t="n"/>
      <c r="V78" s="6" t="n"/>
      <c r="W78" s="6" t="n"/>
      <c r="X78" s="6" t="n"/>
      <c r="Y78" s="6" t="n"/>
      <c r="Z78" s="6" t="n"/>
    </row>
    <row r="79" ht="21" customHeight="1" s="37">
      <c r="A79" s="15" t="inlineStr">
        <is>
          <t>topics/generative-ai/index.html</t>
        </is>
      </c>
      <c r="B79" s="16" t="inlineStr">
        <is>
          <t>/topics/generative-ai/</t>
        </is>
      </c>
      <c r="C79" s="17">
        <f>$B$1&amp;B79</f>
        <v/>
      </c>
      <c r="D79" s="18" t="inlineStr">
        <is>
          <t>Generative AI | Jonathan Harris</t>
        </is>
      </c>
      <c r="E79" s="18" t="inlineStr">
        <is>
          <t>Standard page route</t>
        </is>
      </c>
      <c r="F79" s="19" t="n"/>
      <c r="G79" s="19" t="n"/>
      <c r="H79" s="18" t="n"/>
      <c r="I79" s="18">
        <f>IFERROR(VLOOKUP($F79,'BuyNow Redirects'!$C$2:$J$37,5,FALSE),"")</f>
        <v/>
      </c>
      <c r="J79" s="20">
        <f>IFERROR(VLOOKUP($F79,'BuyNow Redirects'!$C$2:$J$37,6,FALSE),"")</f>
        <v/>
      </c>
      <c r="K79" s="21">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7">
      <c r="A80" s="8" t="inlineStr">
        <is>
          <t>glossary/index.html</t>
        </is>
      </c>
      <c r="B80" s="9" t="inlineStr">
        <is>
          <t>/glossary/</t>
        </is>
      </c>
      <c r="C80" s="10">
        <f>$B$1&amp;B80</f>
        <v/>
      </c>
      <c r="D80" s="11" t="inlineStr">
        <is>
          <t>Glossary | Jonathan Harris</t>
        </is>
      </c>
      <c r="E80" s="11" t="inlineStr">
        <is>
          <t>Standard page route</t>
        </is>
      </c>
      <c r="F80" s="12" t="n"/>
      <c r="G80" s="12" t="n"/>
      <c r="H80" s="11" t="n"/>
      <c r="I80" s="11">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7">
      <c r="A81" s="15" t="inlineStr">
        <is>
          <t>newsletter/index.html</t>
        </is>
      </c>
      <c r="B81" s="16" t="inlineStr">
        <is>
          <t>/newsletter/</t>
        </is>
      </c>
      <c r="C81" s="17">
        <f>$B$1&amp;B81</f>
        <v/>
      </c>
      <c r="D81" s="18" t="inlineStr">
        <is>
          <t>Get the AI Edge | Jonathan Harris</t>
        </is>
      </c>
      <c r="E81" s="18" t="inlineStr">
        <is>
          <t>Standard page route</t>
        </is>
      </c>
      <c r="F81" s="19" t="n"/>
      <c r="G81" s="19" t="n"/>
      <c r="H81" s="18" t="n"/>
      <c r="I81" s="18">
        <f>IFERROR(VLOOKUP($F81,'BuyNow Redirects'!$C$2:$J$37,5,FALSE),"")</f>
        <v/>
      </c>
      <c r="J81" s="20">
        <f>IFERROR(VLOOKUP($F81,'BuyNow Redirects'!$C$2:$J$37,6,FALSE),"")</f>
        <v/>
      </c>
      <c r="K81" s="21">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7">
      <c r="A82" s="8" t="inlineStr">
        <is>
          <t>podcast/index.html</t>
        </is>
      </c>
      <c r="B82" s="9" t="inlineStr">
        <is>
          <t>/podcast/</t>
        </is>
      </c>
      <c r="C82" s="10">
        <f>$B$1&amp;B82</f>
        <v/>
      </c>
      <c r="D82" s="11" t="inlineStr">
        <is>
          <t>Turing’s Torch: AI Weekly | Jonathan Harris</t>
        </is>
      </c>
      <c r="E82" s="11" t="inlineStr">
        <is>
          <t>Standard page route</t>
        </is>
      </c>
      <c r="F82" s="12" t="n"/>
      <c r="G82" s="12" t="n"/>
      <c r="H82" s="18" t="n"/>
      <c r="I82" s="11">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7">
      <c r="A83" s="15" t="inlineStr">
        <is>
          <t>privacy-policy/index.html</t>
        </is>
      </c>
      <c r="B83" s="16" t="inlineStr">
        <is>
          <t>/privacy-policy/</t>
        </is>
      </c>
      <c r="C83" s="17">
        <f>$B$1&amp;B83</f>
        <v/>
      </c>
      <c r="D83" s="18" t="inlineStr">
        <is>
          <t>Privacy Policy | Jonathan Harris</t>
        </is>
      </c>
      <c r="E83" s="18" t="inlineStr">
        <is>
          <t>Standard page route</t>
        </is>
      </c>
      <c r="F83" s="19" t="n"/>
      <c r="G83" s="19" t="n"/>
      <c r="H83" s="18" t="n"/>
      <c r="I83" s="18">
        <f>IFERROR(VLOOKUP($F83,'BuyNow Redirects'!$C$2:$J$37,5,FALSE),"")</f>
        <v/>
      </c>
      <c r="J83" s="20">
        <f>IFERROR(VLOOKUP($F83,'BuyNow Redirects'!$C$2:$J$37,6,FALSE),"")</f>
        <v/>
      </c>
      <c r="K83" s="21">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7">
      <c r="A84" s="8" t="inlineStr">
        <is>
          <t>topics/robotics-automation/index.html</t>
        </is>
      </c>
      <c r="B84" s="9" t="inlineStr">
        <is>
          <t>/topics/robotics-automation/</t>
        </is>
      </c>
      <c r="C84" s="10">
        <f>$B$1&amp;B84</f>
        <v/>
      </c>
      <c r="D84" s="11" t="inlineStr">
        <is>
          <t>Robotics &amp; Automation | Jonathan Harris</t>
        </is>
      </c>
      <c r="E84" s="11" t="inlineStr">
        <is>
          <t>Standard page route</t>
        </is>
      </c>
      <c r="F84" s="12" t="n"/>
      <c r="G84" s="12" t="n"/>
      <c r="H84" s="11" t="n"/>
      <c r="I84" s="11">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7">
      <c r="A85" s="15" t="inlineStr">
        <is>
          <t>terms-of-use/index.html</t>
        </is>
      </c>
      <c r="B85" s="16" t="inlineStr">
        <is>
          <t>/terms-of-use/</t>
        </is>
      </c>
      <c r="C85" s="17">
        <f>$B$1&amp;B85</f>
        <v/>
      </c>
      <c r="D85" s="18" t="inlineStr">
        <is>
          <t>Terms of Use | Jonathan Harris</t>
        </is>
      </c>
      <c r="E85" s="18" t="inlineStr">
        <is>
          <t>Standard page route</t>
        </is>
      </c>
      <c r="F85" s="19" t="n"/>
      <c r="G85" s="19" t="n"/>
      <c r="H85" s="18" t="n"/>
      <c r="I85" s="18">
        <f>IFERROR(VLOOKUP($F85,'BuyNow Redirects'!$C$2:$J$37,5,FALSE),"")</f>
        <v/>
      </c>
      <c r="J85" s="20">
        <f>IFERROR(VLOOKUP($F85,'BuyNow Redirects'!$C$2:$J$37,6,FALSE),"")</f>
        <v/>
      </c>
      <c r="K85" s="21">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7">
      <c r="A86" s="8" t="inlineStr">
        <is>
          <t>topics/index.html</t>
        </is>
      </c>
      <c r="B86" s="9" t="inlineStr">
        <is>
          <t>/topics/</t>
        </is>
      </c>
      <c r="C86" s="10">
        <f>$B$1&amp;B86</f>
        <v/>
      </c>
      <c r="D86" s="11" t="inlineStr">
        <is>
          <t>AI Topics | Jonathan Harris</t>
        </is>
      </c>
      <c r="E86" s="11" t="inlineStr">
        <is>
          <t>Standard page route</t>
        </is>
      </c>
      <c r="F86" s="12" t="n"/>
      <c r="G86" s="12" t="n"/>
      <c r="H86" s="11" t="n"/>
      <c r="I86" s="11">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7">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7">
      <c r="A88" s="6" t="inlineStr">
        <is>
          <t>topics/ai-in-education/index.html</t>
        </is>
      </c>
      <c r="B88" s="6" t="inlineStr">
        <is>
          <t>/topics/ai-in-education/</t>
        </is>
      </c>
      <c r="C88" s="6" t="inlineStr">
        <is>
          <t>https://jonathan-harris.online/topics/ai-in-education/</t>
        </is>
      </c>
      <c r="D88" s="6" t="inlineStr">
        <is>
          <t>AI in Education Guide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c r="A298" t="inlineStr">
        <is>
          <t>transcripts/index.html</t>
        </is>
      </c>
      <c r="B298" t="inlineStr">
        <is>
          <t>/transcripts/</t>
        </is>
      </c>
      <c r="C298" t="inlineStr">
        <is>
          <t>https://jonathan-harris.online/transcripts/</t>
        </is>
      </c>
      <c r="D298" t="inlineStr">
        <is>
          <t>Podcast Transcripts | Jonathan Harris</t>
        </is>
      </c>
      <c r="E298" t="inlineStr">
        <is>
          <t>Standard page route</t>
        </is>
      </c>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c r="AA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c r="AA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c r="AA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c r="AA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2026-04-21T18:31:20Z</dcterms:modified>
</cp:coreProperties>
</file>